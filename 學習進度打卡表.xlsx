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林芯緹\Desktop\Learn\"/>
    </mc:Choice>
  </mc:AlternateContent>
  <xr:revisionPtr revIDLastSave="0" documentId="13_ncr:1_{545151EA-F394-4841-A5B5-045504C7E7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總覽" sheetId="1" r:id="rId1"/>
    <sheet name="每日打卡" sheetId="2" r:id="rId2"/>
    <sheet name="週驗收" sheetId="3" r:id="rId3"/>
  </sheets>
  <definedNames>
    <definedName name="_xlnm._FilterDatabase" localSheetId="1" hidden="1">每日打卡!$A$1:$K$101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/>
  <c r="G101" i="2"/>
  <c r="I100" i="2"/>
  <c r="G100" i="2"/>
  <c r="I99" i="2"/>
  <c r="G99" i="2"/>
  <c r="I98" i="2"/>
  <c r="G98" i="2"/>
  <c r="I97" i="2"/>
  <c r="G97" i="2"/>
  <c r="I96" i="2"/>
  <c r="G96" i="2"/>
  <c r="I95" i="2"/>
  <c r="G95" i="2"/>
  <c r="I94" i="2"/>
  <c r="G94" i="2"/>
  <c r="I93" i="2"/>
  <c r="G93" i="2"/>
  <c r="I92" i="2"/>
  <c r="G92" i="2"/>
  <c r="I91" i="2"/>
  <c r="G91" i="2"/>
  <c r="I90" i="2"/>
  <c r="G90" i="2"/>
  <c r="I89" i="2"/>
  <c r="G89" i="2"/>
  <c r="I88" i="2"/>
  <c r="G88" i="2"/>
  <c r="I87" i="2"/>
  <c r="G87" i="2"/>
  <c r="I86" i="2"/>
  <c r="G86" i="2"/>
  <c r="I85" i="2"/>
  <c r="G85" i="2"/>
  <c r="I84" i="2"/>
  <c r="G84" i="2"/>
  <c r="I83" i="2"/>
  <c r="G83" i="2"/>
  <c r="I82" i="2"/>
  <c r="G82" i="2"/>
  <c r="I81" i="2"/>
  <c r="G81" i="2"/>
  <c r="I80" i="2"/>
  <c r="G80" i="2"/>
  <c r="I79" i="2"/>
  <c r="G79" i="2"/>
  <c r="I78" i="2"/>
  <c r="G78" i="2"/>
  <c r="I77" i="2"/>
  <c r="G77" i="2"/>
  <c r="I76" i="2"/>
  <c r="G76" i="2"/>
  <c r="I75" i="2"/>
  <c r="G75" i="2"/>
  <c r="I74" i="2"/>
  <c r="G74" i="2"/>
  <c r="I73" i="2"/>
  <c r="G73" i="2"/>
  <c r="I72" i="2"/>
  <c r="G72" i="2"/>
  <c r="I71" i="2"/>
  <c r="G71" i="2"/>
  <c r="I70" i="2"/>
  <c r="G70" i="2"/>
  <c r="I69" i="2"/>
  <c r="G69" i="2"/>
  <c r="I68" i="2"/>
  <c r="G68" i="2"/>
  <c r="I67" i="2"/>
  <c r="G67" i="2"/>
  <c r="I66" i="2"/>
  <c r="G66" i="2"/>
  <c r="I65" i="2"/>
  <c r="G65" i="2"/>
  <c r="I64" i="2"/>
  <c r="G64" i="2"/>
  <c r="I63" i="2"/>
  <c r="G63" i="2"/>
  <c r="I62" i="2"/>
  <c r="G62" i="2"/>
  <c r="I61" i="2"/>
  <c r="G61" i="2"/>
  <c r="I60" i="2"/>
  <c r="G60" i="2"/>
  <c r="I59" i="2"/>
  <c r="G59" i="2"/>
  <c r="I58" i="2"/>
  <c r="G58" i="2"/>
  <c r="I57" i="2"/>
  <c r="G57" i="2"/>
  <c r="I56" i="2"/>
  <c r="G56" i="2"/>
  <c r="I55" i="2"/>
  <c r="G55" i="2"/>
  <c r="I54" i="2"/>
  <c r="G54" i="2"/>
  <c r="I53" i="2"/>
  <c r="G53" i="2"/>
  <c r="I52" i="2"/>
  <c r="G52" i="2"/>
  <c r="I51" i="2"/>
  <c r="G51" i="2"/>
  <c r="I50" i="2"/>
  <c r="G50" i="2"/>
  <c r="I49" i="2"/>
  <c r="G49" i="2"/>
  <c r="I48" i="2"/>
  <c r="G48" i="2"/>
  <c r="I47" i="2"/>
  <c r="G47" i="2"/>
  <c r="I46" i="2"/>
  <c r="G46" i="2"/>
  <c r="I45" i="2"/>
  <c r="G45" i="2"/>
  <c r="I44" i="2"/>
  <c r="G44" i="2"/>
  <c r="I43" i="2"/>
  <c r="G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G9" i="2"/>
  <c r="I8" i="2"/>
  <c r="G8" i="2"/>
  <c r="I7" i="2"/>
  <c r="G7" i="2"/>
  <c r="I6" i="2"/>
  <c r="G6" i="2"/>
  <c r="I5" i="2"/>
  <c r="G5" i="2"/>
  <c r="I4" i="2"/>
  <c r="G4" i="2"/>
  <c r="I3" i="2"/>
  <c r="G3" i="2"/>
  <c r="I2" i="2"/>
  <c r="G2" i="2"/>
  <c r="C14" i="1" s="1"/>
  <c r="E25" i="1"/>
  <c r="D25" i="1"/>
  <c r="F25" i="1" s="1"/>
  <c r="E24" i="1"/>
  <c r="D24" i="1"/>
  <c r="F24" i="1" s="1"/>
  <c r="E23" i="1"/>
  <c r="D23" i="1"/>
  <c r="F23" i="1" s="1"/>
  <c r="E22" i="1"/>
  <c r="D22" i="1"/>
  <c r="E21" i="1"/>
  <c r="D21" i="1"/>
  <c r="F21" i="1" s="1"/>
  <c r="E20" i="1"/>
  <c r="D20" i="1"/>
  <c r="F20" i="1" s="1"/>
  <c r="E19" i="1"/>
  <c r="D19" i="1"/>
  <c r="F19" i="1" s="1"/>
  <c r="E18" i="1"/>
  <c r="D18" i="1"/>
  <c r="F18" i="1" s="1"/>
  <c r="C13" i="1"/>
  <c r="C12" i="1"/>
  <c r="C11" i="1"/>
  <c r="C9" i="1"/>
  <c r="C8" i="1"/>
  <c r="C10" i="1" s="1"/>
  <c r="F22" i="1" l="1"/>
</calcChain>
</file>

<file path=xl/sharedStrings.xml><?xml version="1.0" encoding="utf-8"?>
<sst xmlns="http://schemas.openxmlformats.org/spreadsheetml/2006/main" count="505" uniqueCount="279">
  <si>
    <t>C# .NET 學習進度打卡表</t>
  </si>
  <si>
    <t>開始日期(週一)</t>
  </si>
  <si>
    <t>← 可修改;預定日期自動跳過週末</t>
  </si>
  <si>
    <t>每日預計時數</t>
  </si>
  <si>
    <t>← 可修改;預計時數自動更新</t>
  </si>
  <si>
    <t>整體進度</t>
  </si>
  <si>
    <t>完成天數</t>
  </si>
  <si>
    <t>總天數</t>
  </si>
  <si>
    <t>完成率</t>
  </si>
  <si>
    <t>累計實際時數</t>
  </si>
  <si>
    <t>預計總時數</t>
  </si>
  <si>
    <t>已通過週驗收</t>
  </si>
  <si>
    <t>預計完成日期</t>
  </si>
  <si>
    <t>各階段進度</t>
  </si>
  <si>
    <t>階段</t>
  </si>
  <si>
    <t>週次</t>
  </si>
  <si>
    <t>0 C#基礎</t>
  </si>
  <si>
    <t>第 1–2 週</t>
  </si>
  <si>
    <t>1 SQL與Dapper</t>
  </si>
  <si>
    <t>第 3–4 週</t>
  </si>
  <si>
    <t>2 Web API</t>
  </si>
  <si>
    <t>第 5–7 週</t>
  </si>
  <si>
    <t>3 認證與進階</t>
  </si>
  <si>
    <t>第 8–9 週</t>
  </si>
  <si>
    <t>4 前後端整合</t>
  </si>
  <si>
    <t>第 10–11 週</t>
  </si>
  <si>
    <t>5 讀實戰專案</t>
  </si>
  <si>
    <t>第 12–13 週</t>
  </si>
  <si>
    <t>6 專案B</t>
  </si>
  <si>
    <t>第 14–19 週</t>
  </si>
  <si>
    <t>7 驗收</t>
  </si>
  <si>
    <t>第 20 週</t>
  </si>
  <si>
    <t>使用說明</t>
  </si>
  <si>
    <t>• 黃底儲存格為需要你填寫的欄位,其餘為公式,請勿覆蓋。</t>
  </si>
  <si>
    <t>• 每天學完:在「每日打卡」H 欄選 ✔、J 欄填實際時數、K 欄寫心得。範例:✔ / 3.5 / 卡在 LINQ GroupBy,查 MS Learn 後解決。</t>
  </si>
  <si>
    <t>• 每週五:到「週驗收」對照標準,通過才打 ✔。沒通過就用週末補,不要硬往下走。</t>
  </si>
  <si>
    <t>• 落後超過 1 週:不壓縮後面階段,直接改 C4 的開始日期順延。</t>
  </si>
  <si>
    <t>• 每日結構:讀 1 hr + 做 2 hr + 記筆記 0.5 hr(預計 3.5 hr;範圍 3–4 hr)。</t>
  </si>
  <si>
    <t>• 規則:階段 7 驗收時不使用 AI,只查官方文件與搜尋引擎。</t>
  </si>
  <si>
    <t>序號</t>
  </si>
  <si>
    <t>週</t>
  </si>
  <si>
    <t>星期</t>
  </si>
  <si>
    <t>主題</t>
  </si>
  <si>
    <t>練習/產出</t>
  </si>
  <si>
    <t>預定日期</t>
  </si>
  <si>
    <t>完成</t>
  </si>
  <si>
    <t>預計時數</t>
  </si>
  <si>
    <t>實際時數</t>
  </si>
  <si>
    <t>卡關/心得筆記</t>
  </si>
  <si>
    <t>一</t>
  </si>
  <si>
    <t>開發環境、變數、型別、運算式</t>
  </si>
  <si>
    <t>Console 計算機</t>
  </si>
  <si>
    <t>✔</t>
  </si>
  <si>
    <t>必須使用雙引號
在 C# 中，文字必須始終以雙引號"（）包圍。 單引號（'）無法用於文字。 務必使用直引號（），"不要用彎曲引號。
分號很重要
請注意行尾的分號（;）。 在 C# 中，每個指令都必須以分號結尾。 它會告訴電腦你已經輸入完指令。
Console.Write（） 與 Console.WriteLine（）
Console.WriteLine() 在結尾加行分隔，將下一個輸出移至新行
Console.Write() 列印到目前行且不加換行
一個必須記住的重要規則是，即使使用者輸入數字，也必須Console.ReadLine()回傳文字（字串）。
當你為 var 變數指派值時，C# 會根據該值自動判定其資料型別
與其他一些語言不同，C# 是一種 強型別 語言。 這表示一旦你宣告變數為某個類型，它只能保留該類型的值
位置很重要：前置遞增與後置遞增
和 運算子的行為會因其出現在變數--或++而有所不同：
- 後置遞增（value++）：先使用目前值，再遞增
- 預遞增 （++value）：先進行遞增，然後使用新值
另一種將字串轉換為數字的方法如下 Parse
錢用 decimal,其他用 double。</t>
  </si>
  <si>
    <t>二</t>
  </si>
  <si>
    <t>流程控制、陣列、List&lt;T&gt;、Dictionary</t>
  </si>
  <si>
    <t>成績統計</t>
  </si>
  <si>
    <t>三</t>
  </si>
  <si>
    <t>方法、參數、回傳值、string 操作</t>
  </si>
  <si>
    <t>字串處理工具</t>
  </si>
  <si>
    <t>四</t>
  </si>
  <si>
    <t>class、屬性、建構子、存取修飾詞</t>
  </si>
  <si>
    <t>設計 Student 類別</t>
  </si>
  <si>
    <t>五</t>
  </si>
  <si>
    <t>複習 + 小作業</t>
  </si>
  <si>
    <t>通訊錄(記憶體版)</t>
  </si>
  <si>
    <t>interface、繼承、多型</t>
  </si>
  <si>
    <t>為通訊錄抽出介面</t>
  </si>
  <si>
    <t>LINQ(Where/Select/OrderBy/GroupBy)</t>
  </si>
  <si>
    <t>用 LINQ 重寫統計</t>
  </si>
  <si>
    <t>nullable、DateTime、enum、例外處理</t>
  </si>
  <si>
    <t>加入驗證與錯誤處理</t>
  </si>
  <si>
    <t>async/await、檔案讀寫、JSON 序列化</t>
  </si>
  <si>
    <t>通訊錄存成 JSON 檔</t>
  </si>
  <si>
    <t>階段驗收</t>
  </si>
  <si>
    <t>不看資料獨立完成 Console 小程式</t>
  </si>
  <si>
    <t>安裝 SSMS、建資料庫與資料表、資料型別</t>
  </si>
  <si>
    <t>建 Todo、User 兩張表</t>
  </si>
  <si>
    <t>SELECT/INSERT/UPDATE/DELETE、WHERE</t>
  </si>
  <si>
    <t>對 Todo 做 CRUD 語法</t>
  </si>
  <si>
    <t>JOIN、GROUP BY、聚合函數</t>
  </si>
  <si>
    <t>查每位使用者的待辦數</t>
  </si>
  <si>
    <t>PK/FK/Index、稽核欄位設計</t>
  </si>
  <si>
    <t>讀 DBScript_StudentConduct.sql 前 5 張表</t>
  </si>
  <si>
    <t>分頁 OFFSET/FETCH、交易 BEGIN TRAN</t>
  </si>
  <si>
    <t>寫一支分頁查詢</t>
  </si>
  <si>
    <t>Dapper 安裝、Query&lt;T&gt;、QueryFirstOrDefault</t>
  </si>
  <si>
    <t>Console 專案連 DB 查資料</t>
  </si>
  <si>
    <t>Execute、參數化查詢、防 SQL Injection</t>
  </si>
  <si>
    <t>用 Dapper 做 Todo 增修刪</t>
  </si>
  <si>
    <t>一對多查詢(splitOn)、交易</t>
  </si>
  <si>
    <t>查詢 Todo 與其標籤</t>
  </si>
  <si>
    <t>讀 BaseRepository.cs,理解 Repository 模式</t>
  </si>
  <si>
    <t>自己寫 TodoRepository</t>
  </si>
  <si>
    <t>資料庫 + Repository 的 Console 版</t>
  </si>
  <si>
    <t>Web API 專案結構、Program.cs、第一個 Controller</t>
  </si>
  <si>
    <t>Hello API</t>
  </si>
  <si>
    <t>路由、[HttpGet/Post/Put/Delete]、[FromBody]/[FromQuery]</t>
  </si>
  <si>
    <t>Todo CRUD 路由(假資料)</t>
  </si>
  <si>
    <t>依賴注入 DI(Scoped/Singleton/Transient)</t>
  </si>
  <si>
    <t>寫 ITodoService 並註冊</t>
  </si>
  <si>
    <t>三層拆分:Controller → Service → Repository</t>
  </si>
  <si>
    <t>拆成 4 個專案(仿 FjuBase)</t>
  </si>
  <si>
    <t>串上 SQL Server</t>
  </si>
  <si>
    <t>完整 Todo API 可跑</t>
  </si>
  <si>
    <t>DTO 與 ViewModel、Mapster(專案用;概念同 AutoMapper)</t>
  </si>
  <si>
    <t>加入 ViewModel 分離</t>
  </si>
  <si>
    <t>資料驗證 [Required]、統一回傳格式</t>
  </si>
  <si>
    <t>設計 ApiResult&lt;T&gt;</t>
  </si>
  <si>
    <t>Swagger、appsettings.json、多環境設定</t>
  </si>
  <si>
    <t>加上 Swagger 文件</t>
  </si>
  <si>
    <t>Middleware 與 Filter、全域例外處理</t>
  </si>
  <si>
    <t>統一錯誤處理</t>
  </si>
  <si>
    <t>Postman 測試、建立測試集合</t>
  </si>
  <si>
    <t>整套 API 用 Postman 驗收</t>
  </si>
  <si>
    <t>分頁 PagedList&lt;T&gt;(讀 Infrastructure 實作)</t>
  </si>
  <si>
    <t>加分頁與搜尋</t>
  </si>
  <si>
    <t>Unit of Work 與交易(讀專案 UnitOfWork)</t>
  </si>
  <si>
    <t>一次寫兩張表</t>
  </si>
  <si>
    <t>追蹤導讀:AnnouncementController 全流程</t>
  </si>
  <si>
    <t>畫出呼叫鏈圖</t>
  </si>
  <si>
    <t>補強:回頭補不熟的部分</t>
  </si>
  <si>
    <t>重寫做錯的地方</t>
  </si>
  <si>
    <t>練習專案 A 驗收</t>
  </si>
  <si>
    <t>三層 + Swagger + 分頁 + 交易</t>
  </si>
  <si>
    <t>登入流程、密碼雜湊(不明文存密碼)</t>
  </si>
  <si>
    <t>建 Account 表與註冊 API</t>
  </si>
  <si>
    <t>JWT 原理、簽發 token</t>
  </si>
  <si>
    <t>登入 API 回傳 JWT</t>
  </si>
  <si>
    <t>[Authorize]、Claims、驗證 token</t>
  </si>
  <si>
    <t>保護 Todo API</t>
  </si>
  <si>
    <t>角色與權限(讀 AdminRoles、MenuFunction)</t>
  </si>
  <si>
    <t>加上管理員/一般使用者</t>
  </si>
  <si>
    <t>整合驗收</t>
  </si>
  <si>
    <t>Todo API 有登入與角色控管</t>
  </si>
  <si>
    <t>NLog 設定與記錄</t>
  </si>
  <si>
    <t>記錄錯誤與操作</t>
  </si>
  <si>
    <t>檔案上傳與下載(讀 FileHelper)</t>
  </si>
  <si>
    <t>待辦事項附件</t>
  </si>
  <si>
    <t>Quartz 排程</t>
  </si>
  <si>
    <t>每天逾期提醒(先寫 log)</t>
  </si>
  <si>
    <t>寄 Email(讀 EmailSender)</t>
  </si>
  <si>
    <t>實際寄信</t>
  </si>
  <si>
    <t>複習與補強</t>
  </si>
  <si>
    <t>整理筆記</t>
  </si>
  <si>
    <t>Quasar 專案建立、Layout、頁面路由;先讀 FjuMgtFwk_vue3 的 MIGRATION_GUIDE.md</t>
  </si>
  <si>
    <t>建專案骨架(以 FjuMgtFwk_vue3 為樣板);筆記:前端慣例</t>
  </si>
  <si>
    <t>Axios 封裝、攔截器、帶 token</t>
  </si>
  <si>
    <t>統一 API 呼叫層</t>
  </si>
  <si>
    <t>Pinia 存登入狀態、Router 守衛</t>
  </si>
  <si>
    <t>登入頁 + 未登入導回</t>
  </si>
  <si>
    <t>q-table(分頁、排序、搜尋)</t>
  </si>
  <si>
    <t>待辦列表頁</t>
  </si>
  <si>
    <t>q-form、q-dialog、表單驗證</t>
  </si>
  <si>
    <t>新增/編輯待辦</t>
  </si>
  <si>
    <t>錯誤提示、loading、SweetAlert</t>
  </si>
  <si>
    <t>完整錯誤處理</t>
  </si>
  <si>
    <t>檔案上傳前端、日期元件</t>
  </si>
  <si>
    <t>附件功能</t>
  </si>
  <si>
    <t>CORS 問題與環境變數</t>
  </si>
  <si>
    <t>前後端分開部署測試</t>
  </si>
  <si>
    <t>讀 FjuStudentConduct_FRONT 的 proposalList.vue</t>
  </si>
  <si>
    <t>對照後端 API 追流程</t>
  </si>
  <si>
    <t>練習專案 A 前端驗收</t>
  </si>
  <si>
    <t>完整 Todo 系統(前後端)</t>
  </si>
  <si>
    <t>讀 FjuBase:登入與 Token 流程</t>
  </si>
  <si>
    <t>筆記:登入流程圖</t>
  </si>
  <si>
    <t>讀 FjuBase:選單與權限模組</t>
  </si>
  <si>
    <t>筆記:權限資料表關係</t>
  </si>
  <si>
    <t>讀 RewardProposalService:查詢</t>
  </si>
  <si>
    <t>追蹤一支查詢 API</t>
  </si>
  <si>
    <t>讀 RewardProposalService:新增/更新/交易</t>
  </si>
  <si>
    <t>追蹤一支寫入 API</t>
  </si>
  <si>
    <t>前後端對照:FjuMgtFwk_vue3 sample 單元(page → store → modal)對照 FjuBase 公告 CRUD(AnnouncementController → Service → Repository → 資料表)</t>
  </si>
  <si>
    <t>筆記:從畫面按鈕到資料表的完整呼叫鏈圖</t>
  </si>
  <si>
    <t>讀後端開發文件:資料表設計</t>
  </si>
  <si>
    <t>列出 RewardProposal 相關表</t>
  </si>
  <si>
    <t>讀後端開發文件:狀態機 FlowState/TaskState</t>
  </si>
  <si>
    <t>畫狀態流轉圖</t>
  </si>
  <si>
    <t>讀需求規劃說明書</t>
  </si>
  <si>
    <t>標出縮小版要做的功能</t>
  </si>
  <si>
    <t>設計縮小版資料表</t>
  </si>
  <si>
    <t>完成資料表草圖</t>
  </si>
  <si>
    <t>定案專案 B 範圍</t>
  </si>
  <si>
    <t>寫出專案 B 範圍清單</t>
  </si>
  <si>
    <t>建立四層專案骨架</t>
  </si>
  <si>
    <t>專案可編譯、Swagger 可開</t>
  </si>
  <si>
    <t>撰寫建表腳本</t>
  </si>
  <si>
    <t>資料庫建置完成</t>
  </si>
  <si>
    <t>撰寫 Repository</t>
  </si>
  <si>
    <t>基本查詢與新增可用</t>
  </si>
  <si>
    <t>登入 JWT</t>
  </si>
  <si>
    <t>登入 API 完成</t>
  </si>
  <si>
    <t>驗收登入與基礎</t>
  </si>
  <si>
    <t>Postman 測試通過</t>
  </si>
  <si>
    <t>提報單 DTO/ViewModel</t>
  </si>
  <si>
    <t>定義資料模型</t>
  </si>
  <si>
    <t>新增草稿 API</t>
  </si>
  <si>
    <t>可新增草稿</t>
  </si>
  <si>
    <t>查詢分頁 API</t>
  </si>
  <si>
    <t>列表可分頁搜尋</t>
  </si>
  <si>
    <t>修改與刪除草稿</t>
  </si>
  <si>
    <t>草稿維護完成</t>
  </si>
  <si>
    <t>Postman 測試</t>
  </si>
  <si>
    <t>提報單 CRUD 驗收</t>
  </si>
  <si>
    <t>流程定義資料表</t>
  </si>
  <si>
    <t>簽核流程設計</t>
  </si>
  <si>
    <t>送出 API</t>
  </si>
  <si>
    <t>草稿 → 審核中</t>
  </si>
  <si>
    <t>核准/駁回 API</t>
  </si>
  <si>
    <t>審核動作完成</t>
  </si>
  <si>
    <t>狀態驗證與權限</t>
  </si>
  <si>
    <t>非法流轉會被擋</t>
  </si>
  <si>
    <t>流程測試</t>
  </si>
  <si>
    <t>簽核流程驗收</t>
  </si>
  <si>
    <t>操作紀錄表設計</t>
  </si>
  <si>
    <t>只增不刪的 Log 表</t>
  </si>
  <si>
    <t>紀錄寫入與交易</t>
  </si>
  <si>
    <t>每個動作都留紀錄</t>
  </si>
  <si>
    <t>附件上傳</t>
  </si>
  <si>
    <t>提報單附件</t>
  </si>
  <si>
    <t>Email 通知</t>
  </si>
  <si>
    <t>簽核結果寄信</t>
  </si>
  <si>
    <t>Quartz 提醒</t>
  </si>
  <si>
    <t>期限提醒排程</t>
  </si>
  <si>
    <t>前端骨架與登入</t>
  </si>
  <si>
    <t>登入頁完成</t>
  </si>
  <si>
    <t>提報列表頁</t>
  </si>
  <si>
    <t>q-table 分頁列表</t>
  </si>
  <si>
    <t>提報表單頁</t>
  </si>
  <si>
    <t>新增/編輯表單</t>
  </si>
  <si>
    <t>詳情與簽核頁</t>
  </si>
  <si>
    <t>簽核操作畫面</t>
  </si>
  <si>
    <t>前後端串接測試</t>
  </si>
  <si>
    <t>端到端可操作</t>
  </si>
  <si>
    <t>整合測試</t>
  </si>
  <si>
    <t>撰寫測試清單並逐項跑</t>
  </si>
  <si>
    <t>修 bug</t>
  </si>
  <si>
    <t>修正測試問題</t>
  </si>
  <si>
    <t>錯誤處理與 log 檢查</t>
  </si>
  <si>
    <t>錯誤訊息友善、log 完整</t>
  </si>
  <si>
    <t>撰寫使用說明</t>
  </si>
  <si>
    <t>操作手冊</t>
  </si>
  <si>
    <t>專案 B 驗收</t>
  </si>
  <si>
    <t>完整系統可展示</t>
  </si>
  <si>
    <t>選定新需求(銷過申請)並設計</t>
  </si>
  <si>
    <t>資料表與 API 設計稿</t>
  </si>
  <si>
    <t>建立資料表與 Repository</t>
  </si>
  <si>
    <t>資料層完成</t>
  </si>
  <si>
    <t>完成 API</t>
  </si>
  <si>
    <t>Postman 驗收</t>
  </si>
  <si>
    <t>完成前端頁面</t>
  </si>
  <si>
    <t>總驗收與檢討</t>
  </si>
  <si>
    <t>不使用 AI 完成,寫檢討</t>
  </si>
  <si>
    <t>本週驗收標準</t>
  </si>
  <si>
    <t>完成日期</t>
  </si>
  <si>
    <t>備註</t>
  </si>
  <si>
    <t>能寫出 class、集合與基本流程控制</t>
  </si>
  <si>
    <t>不看資料寫出 class、interface、LINQ 查詢</t>
  </si>
  <si>
    <t>能設計 3–5 張關聯資料表並寫 JOIN、分頁</t>
  </si>
  <si>
    <t>能用 Dapper 完成分頁查詢與交易</t>
  </si>
  <si>
    <t>三層架構 Todo API 可執行</t>
  </si>
  <si>
    <t>API 有 ViewModel、驗證、統一回傳、Swagger</t>
  </si>
  <si>
    <t>練習專案 A:Todo API 三層 + Swagger + 分頁 + 交易(1 天內可做出 CRUD)</t>
  </si>
  <si>
    <t>API 有 JWT 登入與角色控管</t>
  </si>
  <si>
    <t>能記錄 log、上傳檔案、排程、寄信</t>
  </si>
  <si>
    <t>前端可登入並操作待辦列表與表單</t>
  </si>
  <si>
    <t>練習專案 A 前後端完整可用</t>
  </si>
  <si>
    <t>能追蹤 FjuBase 與 RewardProposalService 的呼叫鏈</t>
  </si>
  <si>
    <t>完成專案 B 範圍與資料表設計</t>
  </si>
  <si>
    <t>專案 B:資料庫、Repository、登入完成</t>
  </si>
  <si>
    <t>專案 B:提報單 CRUD 完成</t>
  </si>
  <si>
    <t>專案 B:簽核流程與狀態流轉完成</t>
  </si>
  <si>
    <t>專案 B:操作紀錄、附件、通知完成</t>
  </si>
  <si>
    <t>專案 B:前端頁面完成並串接</t>
  </si>
  <si>
    <t>專案 B:整合測試通過、有使用說明</t>
  </si>
  <si>
    <t>不使用 AI,獨立完成新需求(銷過申請)</t>
  </si>
  <si>
    <t>缺字串處理工具</t>
    <phoneticPr fontId="9" type="noConversion"/>
  </si>
  <si>
    <t>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</si>
</sst>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.0%"/>
    <numFmt numFmtId="178" formatCode="0.0"/>
  </numFmts>
  <fonts count="11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6"/>
      <color rgb="FF1F4E78"/>
      <name val="Microsoft JhengHei"/>
      <family val="2"/>
      <charset val="136"/>
    </font>
    <font>
      <b/>
      <sz val="11"/>
      <color rgb="FF0000FF"/>
      <name val="Microsoft JhengHei"/>
      <family val="2"/>
      <charset val="136"/>
    </font>
    <font>
      <b/>
      <sz val="11"/>
      <name val="Microsoft JhengHei"/>
      <family val="2"/>
      <charset val="136"/>
    </font>
    <font>
      <sz val="9"/>
      <color rgb="FF7F7F7F"/>
      <name val="Microsoft JhengHei"/>
      <family val="2"/>
      <charset val="136"/>
    </font>
    <font>
      <b/>
      <sz val="12"/>
      <color rgb="FF1F4E78"/>
      <name val="Microsoft JhengHei"/>
      <family val="2"/>
      <charset val="136"/>
    </font>
    <font>
      <sz val="11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0"/>
      <name val="Segoe UI Symbol"/>
      <family val="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3" borderId="1" xfId="0" applyFont="1" applyFill="1" applyBorder="1" applyAlignment="1">
      <alignment horizontal="center" vertical="center"/>
    </xf>
    <xf numFmtId="0" fontId="7" fillId="0" borderId="0" xfId="0" applyFont="1"/>
    <xf numFmtId="0" fontId="5" fillId="0" borderId="1" xfId="0" applyFont="1" applyBorder="1"/>
    <xf numFmtId="1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0" xfId="0"/>
    <xf numFmtId="176" fontId="4" fillId="3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/>
    <xf numFmtId="0" fontId="10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3"/>
  <sheetViews>
    <sheetView showGridLines="0" workbookViewId="0"/>
  </sheetViews>
  <sheetFormatPr defaultRowHeight="15.75"/>
  <cols>
    <col min="1" max="1" width="3" style="21" customWidth="1"/>
    <col min="2" max="2" width="26" style="21" customWidth="1"/>
    <col min="3" max="3" width="16" style="21" customWidth="1"/>
    <col min="4" max="6" width="12" style="21" customWidth="1"/>
    <col min="7" max="7" width="14" style="21" customWidth="1"/>
  </cols>
  <sheetData>
    <row r="2" spans="2:4" ht="20.25" customHeight="1">
      <c r="B2" s="1" t="s">
        <v>0</v>
      </c>
    </row>
    <row r="4" spans="2:4">
      <c r="B4" s="2" t="s">
        <v>1</v>
      </c>
      <c r="C4" s="22">
        <v>46293</v>
      </c>
      <c r="D4" s="3" t="s">
        <v>2</v>
      </c>
    </row>
    <row r="5" spans="2:4">
      <c r="B5" s="2" t="s">
        <v>3</v>
      </c>
      <c r="C5" s="4">
        <v>3.5</v>
      </c>
      <c r="D5" s="3" t="s">
        <v>4</v>
      </c>
    </row>
    <row r="7" spans="2:4" ht="16.5" customHeight="1">
      <c r="B7" s="5" t="s">
        <v>5</v>
      </c>
    </row>
    <row r="8" spans="2:4">
      <c r="B8" s="6" t="s">
        <v>6</v>
      </c>
      <c r="C8" s="7">
        <f>COUNTIF(每日打卡!$H$2:$H$101,"✔")</f>
        <v>4</v>
      </c>
    </row>
    <row r="9" spans="2:4">
      <c r="B9" s="6" t="s">
        <v>7</v>
      </c>
      <c r="C9" s="7">
        <f>COUNTA(每日打卡!$A$2:$A$101)</f>
        <v>100</v>
      </c>
    </row>
    <row r="10" spans="2:4">
      <c r="B10" s="6" t="s">
        <v>8</v>
      </c>
      <c r="C10" s="23">
        <f>IFERROR(C8/C9,0)</f>
        <v>0.04</v>
      </c>
    </row>
    <row r="11" spans="2:4">
      <c r="B11" s="6" t="s">
        <v>9</v>
      </c>
      <c r="C11" s="24">
        <f>SUM(每日打卡!$J$2:$J$101)</f>
        <v>8.5</v>
      </c>
    </row>
    <row r="12" spans="2:4">
      <c r="B12" s="6" t="s">
        <v>10</v>
      </c>
      <c r="C12" s="24">
        <f>SUM(每日打卡!$I$2:$I$101)</f>
        <v>350</v>
      </c>
    </row>
    <row r="13" spans="2:4">
      <c r="B13" s="6" t="s">
        <v>11</v>
      </c>
      <c r="C13" s="8" t="str">
        <f>COUNTIF(週驗收!$D$2:$D$21,"✔")&amp;" / 20"</f>
        <v>0 / 20</v>
      </c>
    </row>
    <row r="14" spans="2:4">
      <c r="B14" s="6" t="s">
        <v>12</v>
      </c>
      <c r="C14" s="25">
        <f>MAX(每日打卡!$G$2:$G$101)</f>
        <v>46430</v>
      </c>
    </row>
    <row r="16" spans="2:4" ht="16.5" customHeight="1">
      <c r="B16" s="5" t="s">
        <v>13</v>
      </c>
    </row>
    <row r="17" spans="2:7">
      <c r="B17" s="9" t="s">
        <v>14</v>
      </c>
      <c r="C17" s="9" t="s">
        <v>15</v>
      </c>
      <c r="D17" s="9" t="s">
        <v>6</v>
      </c>
      <c r="E17" s="9" t="s">
        <v>7</v>
      </c>
      <c r="F17" s="9" t="s">
        <v>8</v>
      </c>
    </row>
    <row r="18" spans="2:7">
      <c r="B18" s="10" t="s">
        <v>16</v>
      </c>
      <c r="C18" s="11" t="s">
        <v>17</v>
      </c>
      <c r="D18" s="11">
        <f>COUNTIFS(每日打卡!$D$2:$D$101,B18,每日打卡!$H$2:$H$101,"✔")</f>
        <v>4</v>
      </c>
      <c r="E18" s="11">
        <f>COUNTIF(每日打卡!$D$2:$D$101,B18)</f>
        <v>10</v>
      </c>
      <c r="F18" s="12">
        <f t="shared" ref="F18:F25" si="0">IFERROR(D18/E18,0)</f>
        <v>0.4</v>
      </c>
    </row>
    <row r="19" spans="2:7">
      <c r="B19" s="10" t="s">
        <v>18</v>
      </c>
      <c r="C19" s="11" t="s">
        <v>19</v>
      </c>
      <c r="D19" s="11">
        <f>COUNTIFS(每日打卡!$D$2:$D$101,B19,每日打卡!$H$2:$H$101,"✔")</f>
        <v>0</v>
      </c>
      <c r="E19" s="11">
        <f>COUNTIF(每日打卡!$D$2:$D$101,B19)</f>
        <v>10</v>
      </c>
      <c r="F19" s="12">
        <f t="shared" si="0"/>
        <v>0</v>
      </c>
    </row>
    <row r="20" spans="2:7">
      <c r="B20" s="10" t="s">
        <v>20</v>
      </c>
      <c r="C20" s="11" t="s">
        <v>21</v>
      </c>
      <c r="D20" s="11">
        <f>COUNTIFS(每日打卡!$D$2:$D$101,B20,每日打卡!$H$2:$H$101,"✔")</f>
        <v>0</v>
      </c>
      <c r="E20" s="11">
        <f>COUNTIF(每日打卡!$D$2:$D$101,B20)</f>
        <v>15</v>
      </c>
      <c r="F20" s="12">
        <f t="shared" si="0"/>
        <v>0</v>
      </c>
    </row>
    <row r="21" spans="2:7">
      <c r="B21" s="10" t="s">
        <v>22</v>
      </c>
      <c r="C21" s="11" t="s">
        <v>23</v>
      </c>
      <c r="D21" s="11">
        <f>COUNTIFS(每日打卡!$D$2:$D$101,B21,每日打卡!$H$2:$H$101,"✔")</f>
        <v>0</v>
      </c>
      <c r="E21" s="11">
        <f>COUNTIF(每日打卡!$D$2:$D$101,B21)</f>
        <v>10</v>
      </c>
      <c r="F21" s="12">
        <f t="shared" si="0"/>
        <v>0</v>
      </c>
    </row>
    <row r="22" spans="2:7">
      <c r="B22" s="10" t="s">
        <v>24</v>
      </c>
      <c r="C22" s="11" t="s">
        <v>25</v>
      </c>
      <c r="D22" s="11">
        <f>COUNTIFS(每日打卡!$D$2:$D$101,B22,每日打卡!$H$2:$H$101,"✔")</f>
        <v>0</v>
      </c>
      <c r="E22" s="11">
        <f>COUNTIF(每日打卡!$D$2:$D$101,B22)</f>
        <v>10</v>
      </c>
      <c r="F22" s="12">
        <f t="shared" si="0"/>
        <v>0</v>
      </c>
    </row>
    <row r="23" spans="2:7">
      <c r="B23" s="10" t="s">
        <v>26</v>
      </c>
      <c r="C23" s="11" t="s">
        <v>27</v>
      </c>
      <c r="D23" s="11">
        <f>COUNTIFS(每日打卡!$D$2:$D$101,B23,每日打卡!$H$2:$H$101,"✔")</f>
        <v>0</v>
      </c>
      <c r="E23" s="11">
        <f>COUNTIF(每日打卡!$D$2:$D$101,B23)</f>
        <v>10</v>
      </c>
      <c r="F23" s="12">
        <f t="shared" si="0"/>
        <v>0</v>
      </c>
    </row>
    <row r="24" spans="2:7">
      <c r="B24" s="10" t="s">
        <v>28</v>
      </c>
      <c r="C24" s="11" t="s">
        <v>29</v>
      </c>
      <c r="D24" s="11">
        <f>COUNTIFS(每日打卡!$D$2:$D$101,B24,每日打卡!$H$2:$H$101,"✔")</f>
        <v>0</v>
      </c>
      <c r="E24" s="11">
        <f>COUNTIF(每日打卡!$D$2:$D$101,B24)</f>
        <v>30</v>
      </c>
      <c r="F24" s="12">
        <f t="shared" si="0"/>
        <v>0</v>
      </c>
    </row>
    <row r="25" spans="2:7">
      <c r="B25" s="10" t="s">
        <v>30</v>
      </c>
      <c r="C25" s="11" t="s">
        <v>31</v>
      </c>
      <c r="D25" s="11">
        <f>COUNTIFS(每日打卡!$D$2:$D$101,B25,每日打卡!$H$2:$H$101,"✔")</f>
        <v>0</v>
      </c>
      <c r="E25" s="11">
        <f>COUNTIF(每日打卡!$D$2:$D$101,B25)</f>
        <v>5</v>
      </c>
      <c r="F25" s="12">
        <f t="shared" si="0"/>
        <v>0</v>
      </c>
    </row>
    <row r="27" spans="2:7" ht="16.5" customHeight="1">
      <c r="B27" s="5" t="s">
        <v>32</v>
      </c>
    </row>
    <row r="28" spans="2:7" ht="30" customHeight="1">
      <c r="B28" s="29" t="s">
        <v>33</v>
      </c>
      <c r="C28" s="30"/>
      <c r="D28" s="30"/>
      <c r="E28" s="30"/>
      <c r="F28" s="30"/>
      <c r="G28" s="30"/>
    </row>
    <row r="29" spans="2:7" ht="30" customHeight="1">
      <c r="B29" s="29" t="s">
        <v>34</v>
      </c>
      <c r="C29" s="30"/>
      <c r="D29" s="30"/>
      <c r="E29" s="30"/>
      <c r="F29" s="30"/>
      <c r="G29" s="30"/>
    </row>
    <row r="30" spans="2:7" ht="30" customHeight="1">
      <c r="B30" s="29" t="s">
        <v>35</v>
      </c>
      <c r="C30" s="30"/>
      <c r="D30" s="30"/>
      <c r="E30" s="30"/>
      <c r="F30" s="30"/>
      <c r="G30" s="30"/>
    </row>
    <row r="31" spans="2:7" ht="30" customHeight="1">
      <c r="B31" s="29" t="s">
        <v>36</v>
      </c>
      <c r="C31" s="30"/>
      <c r="D31" s="30"/>
      <c r="E31" s="30"/>
      <c r="F31" s="30"/>
      <c r="G31" s="30"/>
    </row>
    <row r="32" spans="2:7" ht="30" customHeight="1">
      <c r="B32" s="29" t="s">
        <v>37</v>
      </c>
      <c r="C32" s="30"/>
      <c r="D32" s="30"/>
      <c r="E32" s="30"/>
      <c r="F32" s="30"/>
      <c r="G32" s="30"/>
    </row>
    <row r="33" spans="2:7" ht="30" customHeight="1">
      <c r="B33" s="29" t="s">
        <v>38</v>
      </c>
      <c r="C33" s="30"/>
      <c r="D33" s="30"/>
      <c r="E33" s="30"/>
      <c r="F33" s="30"/>
      <c r="G33" s="30"/>
    </row>
  </sheetData>
  <mergeCells count="6">
    <mergeCell ref="B33:G33"/>
    <mergeCell ref="B28:G28"/>
    <mergeCell ref="B31:G31"/>
    <mergeCell ref="B32:G32"/>
    <mergeCell ref="B30:G30"/>
    <mergeCell ref="B29:G29"/>
  </mergeCells>
  <phoneticPr fontId="9" type="noConversion"/>
  <conditionalFormatting sqref="F18:F25">
    <cfRule type="dataBar" priority="1">
      <dataBar>
        <cfvo type="num" val="0"/>
        <cfvo type="num" val="1"/>
        <color rgb="FF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J6" sqref="J6"/>
    </sheetView>
  </sheetViews>
  <sheetFormatPr defaultRowHeight="15.75"/>
  <cols>
    <col min="1" max="1" width="6" style="21" customWidth="1"/>
    <col min="2" max="2" width="5" style="21" customWidth="1"/>
    <col min="3" max="3" width="6" style="21" customWidth="1"/>
    <col min="4" max="4" width="16" style="21" customWidth="1"/>
    <col min="5" max="5" width="44" style="21" customWidth="1"/>
    <col min="6" max="6" width="40" style="21" customWidth="1"/>
    <col min="7" max="7" width="12" style="21" customWidth="1"/>
    <col min="8" max="8" width="7" style="21" customWidth="1"/>
    <col min="9" max="10" width="9" style="21" customWidth="1"/>
    <col min="11" max="11" width="89.7109375" style="21" customWidth="1"/>
  </cols>
  <sheetData>
    <row r="1" spans="1:11" ht="24" customHeight="1">
      <c r="A1" s="9" t="s">
        <v>39</v>
      </c>
      <c r="B1" s="9" t="s">
        <v>40</v>
      </c>
      <c r="C1" s="9" t="s">
        <v>41</v>
      </c>
      <c r="D1" s="9" t="s">
        <v>14</v>
      </c>
      <c r="E1" s="9" t="s">
        <v>42</v>
      </c>
      <c r="F1" s="9" t="s">
        <v>43</v>
      </c>
      <c r="G1" s="9" t="s">
        <v>44</v>
      </c>
      <c r="H1" s="9" t="s">
        <v>45</v>
      </c>
      <c r="I1" s="9" t="s">
        <v>46</v>
      </c>
      <c r="J1" s="9" t="s">
        <v>47</v>
      </c>
      <c r="K1" s="9" t="s">
        <v>48</v>
      </c>
    </row>
    <row r="2" spans="1:11" ht="229.5" customHeight="1">
      <c r="A2" s="13">
        <v>1</v>
      </c>
      <c r="B2" s="13">
        <v>1</v>
      </c>
      <c r="C2" s="13" t="s">
        <v>49</v>
      </c>
      <c r="D2" s="14" t="s">
        <v>16</v>
      </c>
      <c r="E2" s="14" t="s">
        <v>50</v>
      </c>
      <c r="F2" s="14" t="s">
        <v>51</v>
      </c>
      <c r="G2" s="26">
        <f>WORKDAY(總覽!$C$4,A2-1)</f>
        <v>46293</v>
      </c>
      <c r="H2" s="15" t="s">
        <v>52</v>
      </c>
      <c r="I2" s="13">
        <f>總覽!$C$5</f>
        <v>3.5</v>
      </c>
      <c r="J2" s="15">
        <v>2.5</v>
      </c>
      <c r="K2" s="16" t="s">
        <v>53</v>
      </c>
    </row>
    <row r="3" spans="1:11">
      <c r="A3" s="17">
        <v>2</v>
      </c>
      <c r="B3" s="17">
        <v>1</v>
      </c>
      <c r="C3" s="17" t="s">
        <v>54</v>
      </c>
      <c r="D3" s="18" t="s">
        <v>16</v>
      </c>
      <c r="E3" s="18" t="s">
        <v>55</v>
      </c>
      <c r="F3" s="18" t="s">
        <v>56</v>
      </c>
      <c r="G3" s="27">
        <f>WORKDAY(總覽!$C$4,A3-1)</f>
        <v>46294</v>
      </c>
      <c r="H3" s="19" t="s">
        <v>52</v>
      </c>
      <c r="I3" s="17">
        <f>總覽!$C$5</f>
        <v>3.5</v>
      </c>
      <c r="J3" s="19">
        <v>1.5</v>
      </c>
      <c r="K3" s="20"/>
    </row>
    <row r="4" spans="1:11">
      <c r="A4" s="17">
        <v>3</v>
      </c>
      <c r="B4" s="17">
        <v>1</v>
      </c>
      <c r="C4" s="17" t="s">
        <v>57</v>
      </c>
      <c r="D4" s="18" t="s">
        <v>16</v>
      </c>
      <c r="E4" s="18" t="s">
        <v>58</v>
      </c>
      <c r="F4" s="18" t="s">
        <v>59</v>
      </c>
      <c r="G4" s="27">
        <f>WORKDAY(總覽!$C$4,A4-1)</f>
        <v>46295</v>
      </c>
      <c r="H4" s="19" t="s">
        <v>52</v>
      </c>
      <c r="I4" s="17">
        <f>總覽!$C$5</f>
        <v>3.5</v>
      </c>
      <c r="J4" s="19">
        <v>3</v>
      </c>
      <c r="K4" s="20" t="s">
        <v>277</v>
      </c>
    </row>
    <row r="5" spans="1:11">
      <c r="A5" s="17">
        <v>4</v>
      </c>
      <c r="B5" s="17">
        <v>1</v>
      </c>
      <c r="C5" s="17" t="s">
        <v>60</v>
      </c>
      <c r="D5" s="18" t="s">
        <v>16</v>
      </c>
      <c r="E5" s="18" t="s">
        <v>61</v>
      </c>
      <c r="F5" s="18" t="s">
        <v>62</v>
      </c>
      <c r="G5" s="27">
        <f>WORKDAY(總覽!$C$4,A5-1)</f>
        <v>46296</v>
      </c>
      <c r="H5" s="31" t="s">
        <v>278</v>
      </c>
      <c r="I5" s="17">
        <f>總覽!$C$5</f>
        <v>3.5</v>
      </c>
      <c r="J5" s="19">
        <v>1.5</v>
      </c>
      <c r="K5" s="20"/>
    </row>
    <row r="6" spans="1:11">
      <c r="A6" s="17">
        <v>5</v>
      </c>
      <c r="B6" s="17">
        <v>1</v>
      </c>
      <c r="C6" s="17" t="s">
        <v>63</v>
      </c>
      <c r="D6" s="18" t="s">
        <v>16</v>
      </c>
      <c r="E6" s="18" t="s">
        <v>64</v>
      </c>
      <c r="F6" s="18" t="s">
        <v>65</v>
      </c>
      <c r="G6" s="27">
        <f>WORKDAY(總覽!$C$4,A6-1)</f>
        <v>46297</v>
      </c>
      <c r="H6" s="19"/>
      <c r="I6" s="17">
        <f>總覽!$C$5</f>
        <v>3.5</v>
      </c>
      <c r="J6" s="19"/>
      <c r="K6" s="20"/>
    </row>
    <row r="7" spans="1:11">
      <c r="A7" s="13">
        <v>6</v>
      </c>
      <c r="B7" s="13">
        <v>2</v>
      </c>
      <c r="C7" s="13" t="s">
        <v>49</v>
      </c>
      <c r="D7" s="14" t="s">
        <v>16</v>
      </c>
      <c r="E7" s="14" t="s">
        <v>66</v>
      </c>
      <c r="F7" s="14" t="s">
        <v>67</v>
      </c>
      <c r="G7" s="26">
        <f>WORKDAY(總覽!$C$4,A7-1)</f>
        <v>46300</v>
      </c>
      <c r="H7" s="15"/>
      <c r="I7" s="13">
        <f>總覽!$C$5</f>
        <v>3.5</v>
      </c>
      <c r="J7" s="15"/>
      <c r="K7" s="16"/>
    </row>
    <row r="8" spans="1:11">
      <c r="A8" s="17">
        <v>7</v>
      </c>
      <c r="B8" s="17">
        <v>2</v>
      </c>
      <c r="C8" s="17" t="s">
        <v>54</v>
      </c>
      <c r="D8" s="18" t="s">
        <v>16</v>
      </c>
      <c r="E8" s="18" t="s">
        <v>68</v>
      </c>
      <c r="F8" s="18" t="s">
        <v>69</v>
      </c>
      <c r="G8" s="27">
        <f>WORKDAY(總覽!$C$4,A8-1)</f>
        <v>46301</v>
      </c>
      <c r="H8" s="19"/>
      <c r="I8" s="17">
        <f>總覽!$C$5</f>
        <v>3.5</v>
      </c>
      <c r="J8" s="19"/>
      <c r="K8" s="20"/>
    </row>
    <row r="9" spans="1:11">
      <c r="A9" s="17">
        <v>8</v>
      </c>
      <c r="B9" s="17">
        <v>2</v>
      </c>
      <c r="C9" s="17" t="s">
        <v>57</v>
      </c>
      <c r="D9" s="18" t="s">
        <v>16</v>
      </c>
      <c r="E9" s="18" t="s">
        <v>70</v>
      </c>
      <c r="F9" s="18" t="s">
        <v>71</v>
      </c>
      <c r="G9" s="27">
        <f>WORKDAY(總覽!$C$4,A9-1)</f>
        <v>46302</v>
      </c>
      <c r="H9" s="19"/>
      <c r="I9" s="17">
        <f>總覽!$C$5</f>
        <v>3.5</v>
      </c>
      <c r="J9" s="19"/>
      <c r="K9" s="20"/>
    </row>
    <row r="10" spans="1:11">
      <c r="A10" s="17">
        <v>9</v>
      </c>
      <c r="B10" s="17">
        <v>2</v>
      </c>
      <c r="C10" s="17" t="s">
        <v>60</v>
      </c>
      <c r="D10" s="18" t="s">
        <v>16</v>
      </c>
      <c r="E10" s="18" t="s">
        <v>72</v>
      </c>
      <c r="F10" s="18" t="s">
        <v>73</v>
      </c>
      <c r="G10" s="27">
        <f>WORKDAY(總覽!$C$4,A10-1)</f>
        <v>46303</v>
      </c>
      <c r="H10" s="19"/>
      <c r="I10" s="17">
        <f>總覽!$C$5</f>
        <v>3.5</v>
      </c>
      <c r="J10" s="19"/>
      <c r="K10" s="20"/>
    </row>
    <row r="11" spans="1:11">
      <c r="A11" s="17">
        <v>10</v>
      </c>
      <c r="B11" s="17">
        <v>2</v>
      </c>
      <c r="C11" s="17" t="s">
        <v>63</v>
      </c>
      <c r="D11" s="18" t="s">
        <v>16</v>
      </c>
      <c r="E11" s="18" t="s">
        <v>74</v>
      </c>
      <c r="F11" s="18" t="s">
        <v>75</v>
      </c>
      <c r="G11" s="27">
        <f>WORKDAY(總覽!$C$4,A11-1)</f>
        <v>46304</v>
      </c>
      <c r="H11" s="19"/>
      <c r="I11" s="17">
        <f>總覽!$C$5</f>
        <v>3.5</v>
      </c>
      <c r="J11" s="19"/>
      <c r="K11" s="20"/>
    </row>
    <row r="12" spans="1:11">
      <c r="A12" s="13">
        <v>11</v>
      </c>
      <c r="B12" s="13">
        <v>3</v>
      </c>
      <c r="C12" s="13" t="s">
        <v>49</v>
      </c>
      <c r="D12" s="14" t="s">
        <v>18</v>
      </c>
      <c r="E12" s="14" t="s">
        <v>76</v>
      </c>
      <c r="F12" s="14" t="s">
        <v>77</v>
      </c>
      <c r="G12" s="26">
        <f>WORKDAY(總覽!$C$4,A12-1)</f>
        <v>46307</v>
      </c>
      <c r="H12" s="15"/>
      <c r="I12" s="13">
        <f>總覽!$C$5</f>
        <v>3.5</v>
      </c>
      <c r="J12" s="15"/>
      <c r="K12" s="16"/>
    </row>
    <row r="13" spans="1:11">
      <c r="A13" s="17">
        <v>12</v>
      </c>
      <c r="B13" s="17">
        <v>3</v>
      </c>
      <c r="C13" s="17" t="s">
        <v>54</v>
      </c>
      <c r="D13" s="18" t="s">
        <v>18</v>
      </c>
      <c r="E13" s="18" t="s">
        <v>78</v>
      </c>
      <c r="F13" s="18" t="s">
        <v>79</v>
      </c>
      <c r="G13" s="27">
        <f>WORKDAY(總覽!$C$4,A13-1)</f>
        <v>46308</v>
      </c>
      <c r="H13" s="19"/>
      <c r="I13" s="17">
        <f>總覽!$C$5</f>
        <v>3.5</v>
      </c>
      <c r="J13" s="19"/>
      <c r="K13" s="20"/>
    </row>
    <row r="14" spans="1:11">
      <c r="A14" s="17">
        <v>13</v>
      </c>
      <c r="B14" s="17">
        <v>3</v>
      </c>
      <c r="C14" s="17" t="s">
        <v>57</v>
      </c>
      <c r="D14" s="18" t="s">
        <v>18</v>
      </c>
      <c r="E14" s="18" t="s">
        <v>80</v>
      </c>
      <c r="F14" s="18" t="s">
        <v>81</v>
      </c>
      <c r="G14" s="27">
        <f>WORKDAY(總覽!$C$4,A14-1)</f>
        <v>46309</v>
      </c>
      <c r="H14" s="19"/>
      <c r="I14" s="17">
        <f>總覽!$C$5</f>
        <v>3.5</v>
      </c>
      <c r="J14" s="19"/>
      <c r="K14" s="20"/>
    </row>
    <row r="15" spans="1:11" ht="27" customHeight="1">
      <c r="A15" s="17">
        <v>14</v>
      </c>
      <c r="B15" s="17">
        <v>3</v>
      </c>
      <c r="C15" s="17" t="s">
        <v>60</v>
      </c>
      <c r="D15" s="18" t="s">
        <v>18</v>
      </c>
      <c r="E15" s="18" t="s">
        <v>82</v>
      </c>
      <c r="F15" s="18" t="s">
        <v>83</v>
      </c>
      <c r="G15" s="27">
        <f>WORKDAY(總覽!$C$4,A15-1)</f>
        <v>46310</v>
      </c>
      <c r="H15" s="19"/>
      <c r="I15" s="17">
        <f>總覽!$C$5</f>
        <v>3.5</v>
      </c>
      <c r="J15" s="19"/>
      <c r="K15" s="20"/>
    </row>
    <row r="16" spans="1:11">
      <c r="A16" s="17">
        <v>15</v>
      </c>
      <c r="B16" s="17">
        <v>3</v>
      </c>
      <c r="C16" s="17" t="s">
        <v>63</v>
      </c>
      <c r="D16" s="18" t="s">
        <v>18</v>
      </c>
      <c r="E16" s="18" t="s">
        <v>84</v>
      </c>
      <c r="F16" s="18" t="s">
        <v>85</v>
      </c>
      <c r="G16" s="27">
        <f>WORKDAY(總覽!$C$4,A16-1)</f>
        <v>46311</v>
      </c>
      <c r="H16" s="19"/>
      <c r="I16" s="17">
        <f>總覽!$C$5</f>
        <v>3.5</v>
      </c>
      <c r="J16" s="19"/>
      <c r="K16" s="20"/>
    </row>
    <row r="17" spans="1:11" ht="27" customHeight="1">
      <c r="A17" s="13">
        <v>16</v>
      </c>
      <c r="B17" s="13">
        <v>4</v>
      </c>
      <c r="C17" s="13" t="s">
        <v>49</v>
      </c>
      <c r="D17" s="14" t="s">
        <v>18</v>
      </c>
      <c r="E17" s="14" t="s">
        <v>86</v>
      </c>
      <c r="F17" s="14" t="s">
        <v>87</v>
      </c>
      <c r="G17" s="26">
        <f>WORKDAY(總覽!$C$4,A17-1)</f>
        <v>46314</v>
      </c>
      <c r="H17" s="15"/>
      <c r="I17" s="13">
        <f>總覽!$C$5</f>
        <v>3.5</v>
      </c>
      <c r="J17" s="15"/>
      <c r="K17" s="16"/>
    </row>
    <row r="18" spans="1:11" ht="27" customHeight="1">
      <c r="A18" s="17">
        <v>17</v>
      </c>
      <c r="B18" s="17">
        <v>4</v>
      </c>
      <c r="C18" s="17" t="s">
        <v>54</v>
      </c>
      <c r="D18" s="18" t="s">
        <v>18</v>
      </c>
      <c r="E18" s="18" t="s">
        <v>88</v>
      </c>
      <c r="F18" s="18" t="s">
        <v>89</v>
      </c>
      <c r="G18" s="27">
        <f>WORKDAY(總覽!$C$4,A18-1)</f>
        <v>46315</v>
      </c>
      <c r="H18" s="19"/>
      <c r="I18" s="17">
        <f>總覽!$C$5</f>
        <v>3.5</v>
      </c>
      <c r="J18" s="19"/>
      <c r="K18" s="20"/>
    </row>
    <row r="19" spans="1:11">
      <c r="A19" s="17">
        <v>18</v>
      </c>
      <c r="B19" s="17">
        <v>4</v>
      </c>
      <c r="C19" s="17" t="s">
        <v>57</v>
      </c>
      <c r="D19" s="18" t="s">
        <v>18</v>
      </c>
      <c r="E19" s="18" t="s">
        <v>90</v>
      </c>
      <c r="F19" s="18" t="s">
        <v>91</v>
      </c>
      <c r="G19" s="27">
        <f>WORKDAY(總覽!$C$4,A19-1)</f>
        <v>46316</v>
      </c>
      <c r="H19" s="19"/>
      <c r="I19" s="17">
        <f>總覽!$C$5</f>
        <v>3.5</v>
      </c>
      <c r="J19" s="19"/>
      <c r="K19" s="20"/>
    </row>
    <row r="20" spans="1:11" ht="27" customHeight="1">
      <c r="A20" s="17">
        <v>19</v>
      </c>
      <c r="B20" s="17">
        <v>4</v>
      </c>
      <c r="C20" s="17" t="s">
        <v>60</v>
      </c>
      <c r="D20" s="18" t="s">
        <v>18</v>
      </c>
      <c r="E20" s="18" t="s">
        <v>92</v>
      </c>
      <c r="F20" s="18" t="s">
        <v>93</v>
      </c>
      <c r="G20" s="27">
        <f>WORKDAY(總覽!$C$4,A20-1)</f>
        <v>46317</v>
      </c>
      <c r="H20" s="19"/>
      <c r="I20" s="17">
        <f>總覽!$C$5</f>
        <v>3.5</v>
      </c>
      <c r="J20" s="19"/>
      <c r="K20" s="20"/>
    </row>
    <row r="21" spans="1:11" ht="27" customHeight="1">
      <c r="A21" s="17">
        <v>20</v>
      </c>
      <c r="B21" s="17">
        <v>4</v>
      </c>
      <c r="C21" s="17" t="s">
        <v>63</v>
      </c>
      <c r="D21" s="18" t="s">
        <v>18</v>
      </c>
      <c r="E21" s="18" t="s">
        <v>74</v>
      </c>
      <c r="F21" s="18" t="s">
        <v>94</v>
      </c>
      <c r="G21" s="27">
        <f>WORKDAY(總覽!$C$4,A21-1)</f>
        <v>46318</v>
      </c>
      <c r="H21" s="19"/>
      <c r="I21" s="17">
        <f>總覽!$C$5</f>
        <v>3.5</v>
      </c>
      <c r="J21" s="19"/>
      <c r="K21" s="20"/>
    </row>
    <row r="22" spans="1:11" ht="27" customHeight="1">
      <c r="A22" s="13">
        <v>21</v>
      </c>
      <c r="B22" s="13">
        <v>5</v>
      </c>
      <c r="C22" s="13" t="s">
        <v>49</v>
      </c>
      <c r="D22" s="14" t="s">
        <v>20</v>
      </c>
      <c r="E22" s="14" t="s">
        <v>95</v>
      </c>
      <c r="F22" s="14" t="s">
        <v>96</v>
      </c>
      <c r="G22" s="26">
        <f>WORKDAY(總覽!$C$4,A22-1)</f>
        <v>46321</v>
      </c>
      <c r="H22" s="15"/>
      <c r="I22" s="13">
        <f>總覽!$C$5</f>
        <v>3.5</v>
      </c>
      <c r="J22" s="15"/>
      <c r="K22" s="16"/>
    </row>
    <row r="23" spans="1:11" ht="27" customHeight="1">
      <c r="A23" s="17">
        <v>22</v>
      </c>
      <c r="B23" s="17">
        <v>5</v>
      </c>
      <c r="C23" s="17" t="s">
        <v>54</v>
      </c>
      <c r="D23" s="18" t="s">
        <v>20</v>
      </c>
      <c r="E23" s="18" t="s">
        <v>97</v>
      </c>
      <c r="F23" s="18" t="s">
        <v>98</v>
      </c>
      <c r="G23" s="27">
        <f>WORKDAY(總覽!$C$4,A23-1)</f>
        <v>46322</v>
      </c>
      <c r="H23" s="19"/>
      <c r="I23" s="17">
        <f>總覽!$C$5</f>
        <v>3.5</v>
      </c>
      <c r="J23" s="19"/>
      <c r="K23" s="20"/>
    </row>
    <row r="24" spans="1:11">
      <c r="A24" s="17">
        <v>23</v>
      </c>
      <c r="B24" s="17">
        <v>5</v>
      </c>
      <c r="C24" s="17" t="s">
        <v>57</v>
      </c>
      <c r="D24" s="18" t="s">
        <v>20</v>
      </c>
      <c r="E24" s="18" t="s">
        <v>99</v>
      </c>
      <c r="F24" s="18" t="s">
        <v>100</v>
      </c>
      <c r="G24" s="27">
        <f>WORKDAY(總覽!$C$4,A24-1)</f>
        <v>46323</v>
      </c>
      <c r="H24" s="19"/>
      <c r="I24" s="17">
        <f>總覽!$C$5</f>
        <v>3.5</v>
      </c>
      <c r="J24" s="19"/>
      <c r="K24" s="20"/>
    </row>
    <row r="25" spans="1:11">
      <c r="A25" s="17">
        <v>24</v>
      </c>
      <c r="B25" s="17">
        <v>5</v>
      </c>
      <c r="C25" s="17" t="s">
        <v>60</v>
      </c>
      <c r="D25" s="18" t="s">
        <v>20</v>
      </c>
      <c r="E25" s="18" t="s">
        <v>101</v>
      </c>
      <c r="F25" s="18" t="s">
        <v>102</v>
      </c>
      <c r="G25" s="27">
        <f>WORKDAY(總覽!$C$4,A25-1)</f>
        <v>46324</v>
      </c>
      <c r="H25" s="19"/>
      <c r="I25" s="17">
        <f>總覽!$C$5</f>
        <v>3.5</v>
      </c>
      <c r="J25" s="19"/>
      <c r="K25" s="20"/>
    </row>
    <row r="26" spans="1:11">
      <c r="A26" s="17">
        <v>25</v>
      </c>
      <c r="B26" s="17">
        <v>5</v>
      </c>
      <c r="C26" s="17" t="s">
        <v>63</v>
      </c>
      <c r="D26" s="18" t="s">
        <v>20</v>
      </c>
      <c r="E26" s="18" t="s">
        <v>103</v>
      </c>
      <c r="F26" s="18" t="s">
        <v>104</v>
      </c>
      <c r="G26" s="27">
        <f>WORKDAY(總覽!$C$4,A26-1)</f>
        <v>46325</v>
      </c>
      <c r="H26" s="19"/>
      <c r="I26" s="17">
        <f>總覽!$C$5</f>
        <v>3.5</v>
      </c>
      <c r="J26" s="19"/>
      <c r="K26" s="20"/>
    </row>
    <row r="27" spans="1:11" ht="27">
      <c r="A27" s="13">
        <v>26</v>
      </c>
      <c r="B27" s="13">
        <v>6</v>
      </c>
      <c r="C27" s="13" t="s">
        <v>49</v>
      </c>
      <c r="D27" s="14" t="s">
        <v>20</v>
      </c>
      <c r="E27" s="14" t="s">
        <v>105</v>
      </c>
      <c r="F27" s="14" t="s">
        <v>106</v>
      </c>
      <c r="G27" s="26">
        <f>WORKDAY(總覽!$C$4,A27-1)</f>
        <v>46328</v>
      </c>
      <c r="H27" s="15"/>
      <c r="I27" s="13">
        <f>總覽!$C$5</f>
        <v>3.5</v>
      </c>
      <c r="J27" s="15"/>
      <c r="K27" s="16"/>
    </row>
    <row r="28" spans="1:11">
      <c r="A28" s="17">
        <v>27</v>
      </c>
      <c r="B28" s="17">
        <v>6</v>
      </c>
      <c r="C28" s="17" t="s">
        <v>54</v>
      </c>
      <c r="D28" s="18" t="s">
        <v>20</v>
      </c>
      <c r="E28" s="18" t="s">
        <v>107</v>
      </c>
      <c r="F28" s="18" t="s">
        <v>108</v>
      </c>
      <c r="G28" s="27">
        <f>WORKDAY(總覽!$C$4,A28-1)</f>
        <v>46329</v>
      </c>
      <c r="H28" s="19"/>
      <c r="I28" s="17">
        <f>總覽!$C$5</f>
        <v>3.5</v>
      </c>
      <c r="J28" s="19"/>
      <c r="K28" s="20"/>
    </row>
    <row r="29" spans="1:11">
      <c r="A29" s="17">
        <v>28</v>
      </c>
      <c r="B29" s="17">
        <v>6</v>
      </c>
      <c r="C29" s="17" t="s">
        <v>57</v>
      </c>
      <c r="D29" s="18" t="s">
        <v>20</v>
      </c>
      <c r="E29" s="18" t="s">
        <v>109</v>
      </c>
      <c r="F29" s="18" t="s">
        <v>110</v>
      </c>
      <c r="G29" s="27">
        <f>WORKDAY(總覽!$C$4,A29-1)</f>
        <v>46330</v>
      </c>
      <c r="H29" s="19"/>
      <c r="I29" s="17">
        <f>總覽!$C$5</f>
        <v>3.5</v>
      </c>
      <c r="J29" s="19"/>
      <c r="K29" s="20"/>
    </row>
    <row r="30" spans="1:11">
      <c r="A30" s="17">
        <v>29</v>
      </c>
      <c r="B30" s="17">
        <v>6</v>
      </c>
      <c r="C30" s="17" t="s">
        <v>60</v>
      </c>
      <c r="D30" s="18" t="s">
        <v>20</v>
      </c>
      <c r="E30" s="18" t="s">
        <v>111</v>
      </c>
      <c r="F30" s="18" t="s">
        <v>112</v>
      </c>
      <c r="G30" s="27">
        <f>WORKDAY(總覽!$C$4,A30-1)</f>
        <v>46331</v>
      </c>
      <c r="H30" s="19"/>
      <c r="I30" s="17">
        <f>總覽!$C$5</f>
        <v>3.5</v>
      </c>
      <c r="J30" s="19"/>
      <c r="K30" s="20"/>
    </row>
    <row r="31" spans="1:11">
      <c r="A31" s="17">
        <v>30</v>
      </c>
      <c r="B31" s="17">
        <v>6</v>
      </c>
      <c r="C31" s="17" t="s">
        <v>63</v>
      </c>
      <c r="D31" s="18" t="s">
        <v>20</v>
      </c>
      <c r="E31" s="18" t="s">
        <v>113</v>
      </c>
      <c r="F31" s="18" t="s">
        <v>114</v>
      </c>
      <c r="G31" s="27">
        <f>WORKDAY(總覽!$C$4,A31-1)</f>
        <v>46332</v>
      </c>
      <c r="H31" s="19"/>
      <c r="I31" s="17">
        <f>總覽!$C$5</f>
        <v>3.5</v>
      </c>
      <c r="J31" s="19"/>
      <c r="K31" s="20"/>
    </row>
    <row r="32" spans="1:11">
      <c r="A32" s="13">
        <v>31</v>
      </c>
      <c r="B32" s="13">
        <v>7</v>
      </c>
      <c r="C32" s="13" t="s">
        <v>49</v>
      </c>
      <c r="D32" s="14" t="s">
        <v>20</v>
      </c>
      <c r="E32" s="14" t="s">
        <v>115</v>
      </c>
      <c r="F32" s="14" t="s">
        <v>116</v>
      </c>
      <c r="G32" s="26">
        <f>WORKDAY(總覽!$C$4,A32-1)</f>
        <v>46335</v>
      </c>
      <c r="H32" s="15"/>
      <c r="I32" s="13">
        <f>總覽!$C$5</f>
        <v>3.5</v>
      </c>
      <c r="J32" s="15"/>
      <c r="K32" s="16"/>
    </row>
    <row r="33" spans="1:11">
      <c r="A33" s="17">
        <v>32</v>
      </c>
      <c r="B33" s="17">
        <v>7</v>
      </c>
      <c r="C33" s="17" t="s">
        <v>54</v>
      </c>
      <c r="D33" s="18" t="s">
        <v>20</v>
      </c>
      <c r="E33" s="18" t="s">
        <v>117</v>
      </c>
      <c r="F33" s="18" t="s">
        <v>118</v>
      </c>
      <c r="G33" s="27">
        <f>WORKDAY(總覽!$C$4,A33-1)</f>
        <v>46336</v>
      </c>
      <c r="H33" s="19"/>
      <c r="I33" s="17">
        <f>總覽!$C$5</f>
        <v>3.5</v>
      </c>
      <c r="J33" s="19"/>
      <c r="K33" s="20"/>
    </row>
    <row r="34" spans="1:11">
      <c r="A34" s="17">
        <v>33</v>
      </c>
      <c r="B34" s="17">
        <v>7</v>
      </c>
      <c r="C34" s="17" t="s">
        <v>57</v>
      </c>
      <c r="D34" s="18" t="s">
        <v>20</v>
      </c>
      <c r="E34" s="18" t="s">
        <v>119</v>
      </c>
      <c r="F34" s="18" t="s">
        <v>120</v>
      </c>
      <c r="G34" s="27">
        <f>WORKDAY(總覽!$C$4,A34-1)</f>
        <v>46337</v>
      </c>
      <c r="H34" s="19"/>
      <c r="I34" s="17">
        <f>總覽!$C$5</f>
        <v>3.5</v>
      </c>
      <c r="J34" s="19"/>
      <c r="K34" s="20"/>
    </row>
    <row r="35" spans="1:11">
      <c r="A35" s="17">
        <v>34</v>
      </c>
      <c r="B35" s="17">
        <v>7</v>
      </c>
      <c r="C35" s="17" t="s">
        <v>60</v>
      </c>
      <c r="D35" s="18" t="s">
        <v>20</v>
      </c>
      <c r="E35" s="18" t="s">
        <v>121</v>
      </c>
      <c r="F35" s="18" t="s">
        <v>122</v>
      </c>
      <c r="G35" s="27">
        <f>WORKDAY(總覽!$C$4,A35-1)</f>
        <v>46338</v>
      </c>
      <c r="H35" s="19"/>
      <c r="I35" s="17">
        <f>總覽!$C$5</f>
        <v>3.5</v>
      </c>
      <c r="J35" s="19"/>
      <c r="K35" s="20"/>
    </row>
    <row r="36" spans="1:11">
      <c r="A36" s="17">
        <v>35</v>
      </c>
      <c r="B36" s="17">
        <v>7</v>
      </c>
      <c r="C36" s="17" t="s">
        <v>63</v>
      </c>
      <c r="D36" s="18" t="s">
        <v>20</v>
      </c>
      <c r="E36" s="18" t="s">
        <v>123</v>
      </c>
      <c r="F36" s="18" t="s">
        <v>124</v>
      </c>
      <c r="G36" s="27">
        <f>WORKDAY(總覽!$C$4,A36-1)</f>
        <v>46339</v>
      </c>
      <c r="H36" s="19"/>
      <c r="I36" s="17">
        <f>總覽!$C$5</f>
        <v>3.5</v>
      </c>
      <c r="J36" s="19"/>
      <c r="K36" s="20"/>
    </row>
    <row r="37" spans="1:11">
      <c r="A37" s="13">
        <v>36</v>
      </c>
      <c r="B37" s="13">
        <v>8</v>
      </c>
      <c r="C37" s="13" t="s">
        <v>49</v>
      </c>
      <c r="D37" s="14" t="s">
        <v>22</v>
      </c>
      <c r="E37" s="14" t="s">
        <v>125</v>
      </c>
      <c r="F37" s="14" t="s">
        <v>126</v>
      </c>
      <c r="G37" s="26">
        <f>WORKDAY(總覽!$C$4,A37-1)</f>
        <v>46342</v>
      </c>
      <c r="H37" s="15"/>
      <c r="I37" s="13">
        <f>總覽!$C$5</f>
        <v>3.5</v>
      </c>
      <c r="J37" s="15"/>
      <c r="K37" s="16"/>
    </row>
    <row r="38" spans="1:11">
      <c r="A38" s="17">
        <v>37</v>
      </c>
      <c r="B38" s="17">
        <v>8</v>
      </c>
      <c r="C38" s="17" t="s">
        <v>54</v>
      </c>
      <c r="D38" s="18" t="s">
        <v>22</v>
      </c>
      <c r="E38" s="18" t="s">
        <v>127</v>
      </c>
      <c r="F38" s="18" t="s">
        <v>128</v>
      </c>
      <c r="G38" s="27">
        <f>WORKDAY(總覽!$C$4,A38-1)</f>
        <v>46343</v>
      </c>
      <c r="H38" s="19"/>
      <c r="I38" s="17">
        <f>總覽!$C$5</f>
        <v>3.5</v>
      </c>
      <c r="J38" s="19"/>
      <c r="K38" s="20"/>
    </row>
    <row r="39" spans="1:11">
      <c r="A39" s="17">
        <v>38</v>
      </c>
      <c r="B39" s="17">
        <v>8</v>
      </c>
      <c r="C39" s="17" t="s">
        <v>57</v>
      </c>
      <c r="D39" s="18" t="s">
        <v>22</v>
      </c>
      <c r="E39" s="18" t="s">
        <v>129</v>
      </c>
      <c r="F39" s="18" t="s">
        <v>130</v>
      </c>
      <c r="G39" s="27">
        <f>WORKDAY(總覽!$C$4,A39-1)</f>
        <v>46344</v>
      </c>
      <c r="H39" s="19"/>
      <c r="I39" s="17">
        <f>總覽!$C$5</f>
        <v>3.5</v>
      </c>
      <c r="J39" s="19"/>
      <c r="K39" s="20"/>
    </row>
    <row r="40" spans="1:11">
      <c r="A40" s="17">
        <v>39</v>
      </c>
      <c r="B40" s="17">
        <v>8</v>
      </c>
      <c r="C40" s="17" t="s">
        <v>60</v>
      </c>
      <c r="D40" s="18" t="s">
        <v>22</v>
      </c>
      <c r="E40" s="18" t="s">
        <v>131</v>
      </c>
      <c r="F40" s="18" t="s">
        <v>132</v>
      </c>
      <c r="G40" s="27">
        <f>WORKDAY(總覽!$C$4,A40-1)</f>
        <v>46345</v>
      </c>
      <c r="H40" s="19"/>
      <c r="I40" s="17">
        <f>總覽!$C$5</f>
        <v>3.5</v>
      </c>
      <c r="J40" s="19"/>
      <c r="K40" s="20"/>
    </row>
    <row r="41" spans="1:11">
      <c r="A41" s="17">
        <v>40</v>
      </c>
      <c r="B41" s="17">
        <v>8</v>
      </c>
      <c r="C41" s="17" t="s">
        <v>63</v>
      </c>
      <c r="D41" s="18" t="s">
        <v>22</v>
      </c>
      <c r="E41" s="18" t="s">
        <v>133</v>
      </c>
      <c r="F41" s="18" t="s">
        <v>134</v>
      </c>
      <c r="G41" s="27">
        <f>WORKDAY(總覽!$C$4,A41-1)</f>
        <v>46346</v>
      </c>
      <c r="H41" s="19"/>
      <c r="I41" s="17">
        <f>總覽!$C$5</f>
        <v>3.5</v>
      </c>
      <c r="J41" s="19"/>
      <c r="K41" s="20"/>
    </row>
    <row r="42" spans="1:11">
      <c r="A42" s="13">
        <v>41</v>
      </c>
      <c r="B42" s="13">
        <v>9</v>
      </c>
      <c r="C42" s="13" t="s">
        <v>49</v>
      </c>
      <c r="D42" s="14" t="s">
        <v>22</v>
      </c>
      <c r="E42" s="14" t="s">
        <v>135</v>
      </c>
      <c r="F42" s="14" t="s">
        <v>136</v>
      </c>
      <c r="G42" s="26">
        <f>WORKDAY(總覽!$C$4,A42-1)</f>
        <v>46349</v>
      </c>
      <c r="H42" s="15"/>
      <c r="I42" s="13">
        <f>總覽!$C$5</f>
        <v>3.5</v>
      </c>
      <c r="J42" s="15"/>
      <c r="K42" s="16"/>
    </row>
    <row r="43" spans="1:11">
      <c r="A43" s="17">
        <v>42</v>
      </c>
      <c r="B43" s="17">
        <v>9</v>
      </c>
      <c r="C43" s="17" t="s">
        <v>54</v>
      </c>
      <c r="D43" s="18" t="s">
        <v>22</v>
      </c>
      <c r="E43" s="18" t="s">
        <v>137</v>
      </c>
      <c r="F43" s="18" t="s">
        <v>138</v>
      </c>
      <c r="G43" s="27">
        <f>WORKDAY(總覽!$C$4,A43-1)</f>
        <v>46350</v>
      </c>
      <c r="H43" s="19"/>
      <c r="I43" s="17">
        <f>總覽!$C$5</f>
        <v>3.5</v>
      </c>
      <c r="J43" s="19"/>
      <c r="K43" s="20"/>
    </row>
    <row r="44" spans="1:11">
      <c r="A44" s="17">
        <v>43</v>
      </c>
      <c r="B44" s="17">
        <v>9</v>
      </c>
      <c r="C44" s="17" t="s">
        <v>57</v>
      </c>
      <c r="D44" s="18" t="s">
        <v>22</v>
      </c>
      <c r="E44" s="18" t="s">
        <v>139</v>
      </c>
      <c r="F44" s="18" t="s">
        <v>140</v>
      </c>
      <c r="G44" s="27">
        <f>WORKDAY(總覽!$C$4,A44-1)</f>
        <v>46351</v>
      </c>
      <c r="H44" s="19"/>
      <c r="I44" s="17">
        <f>總覽!$C$5</f>
        <v>3.5</v>
      </c>
      <c r="J44" s="19"/>
      <c r="K44" s="20"/>
    </row>
    <row r="45" spans="1:11">
      <c r="A45" s="17">
        <v>44</v>
      </c>
      <c r="B45" s="17">
        <v>9</v>
      </c>
      <c r="C45" s="17" t="s">
        <v>60</v>
      </c>
      <c r="D45" s="18" t="s">
        <v>22</v>
      </c>
      <c r="E45" s="18" t="s">
        <v>141</v>
      </c>
      <c r="F45" s="18" t="s">
        <v>142</v>
      </c>
      <c r="G45" s="27">
        <f>WORKDAY(總覽!$C$4,A45-1)</f>
        <v>46352</v>
      </c>
      <c r="H45" s="19"/>
      <c r="I45" s="17">
        <f>總覽!$C$5</f>
        <v>3.5</v>
      </c>
      <c r="J45" s="19"/>
      <c r="K45" s="20"/>
    </row>
    <row r="46" spans="1:11">
      <c r="A46" s="17">
        <v>45</v>
      </c>
      <c r="B46" s="17">
        <v>9</v>
      </c>
      <c r="C46" s="17" t="s">
        <v>63</v>
      </c>
      <c r="D46" s="18" t="s">
        <v>22</v>
      </c>
      <c r="E46" s="18" t="s">
        <v>143</v>
      </c>
      <c r="F46" s="18" t="s">
        <v>144</v>
      </c>
      <c r="G46" s="27">
        <f>WORKDAY(總覽!$C$4,A46-1)</f>
        <v>46353</v>
      </c>
      <c r="H46" s="19"/>
      <c r="I46" s="17">
        <f>總覽!$C$5</f>
        <v>3.5</v>
      </c>
      <c r="J46" s="19"/>
      <c r="K46" s="20"/>
    </row>
    <row r="47" spans="1:11" ht="27">
      <c r="A47" s="13">
        <v>46</v>
      </c>
      <c r="B47" s="13">
        <v>10</v>
      </c>
      <c r="C47" s="13" t="s">
        <v>49</v>
      </c>
      <c r="D47" s="14" t="s">
        <v>24</v>
      </c>
      <c r="E47" s="14" t="s">
        <v>145</v>
      </c>
      <c r="F47" s="14" t="s">
        <v>146</v>
      </c>
      <c r="G47" s="26">
        <f>WORKDAY(總覽!$C$4,A47-1)</f>
        <v>46356</v>
      </c>
      <c r="H47" s="15"/>
      <c r="I47" s="13">
        <f>總覽!$C$5</f>
        <v>3.5</v>
      </c>
      <c r="J47" s="15"/>
      <c r="K47" s="16"/>
    </row>
    <row r="48" spans="1:11">
      <c r="A48" s="17">
        <v>47</v>
      </c>
      <c r="B48" s="17">
        <v>10</v>
      </c>
      <c r="C48" s="17" t="s">
        <v>54</v>
      </c>
      <c r="D48" s="18" t="s">
        <v>24</v>
      </c>
      <c r="E48" s="18" t="s">
        <v>147</v>
      </c>
      <c r="F48" s="18" t="s">
        <v>148</v>
      </c>
      <c r="G48" s="27">
        <f>WORKDAY(總覽!$C$4,A48-1)</f>
        <v>46357</v>
      </c>
      <c r="H48" s="19"/>
      <c r="I48" s="17">
        <f>總覽!$C$5</f>
        <v>3.5</v>
      </c>
      <c r="J48" s="19"/>
      <c r="K48" s="20"/>
    </row>
    <row r="49" spans="1:11">
      <c r="A49" s="17">
        <v>48</v>
      </c>
      <c r="B49" s="17">
        <v>10</v>
      </c>
      <c r="C49" s="17" t="s">
        <v>57</v>
      </c>
      <c r="D49" s="18" t="s">
        <v>24</v>
      </c>
      <c r="E49" s="18" t="s">
        <v>149</v>
      </c>
      <c r="F49" s="18" t="s">
        <v>150</v>
      </c>
      <c r="G49" s="27">
        <f>WORKDAY(總覽!$C$4,A49-1)</f>
        <v>46358</v>
      </c>
      <c r="H49" s="19"/>
      <c r="I49" s="17">
        <f>總覽!$C$5</f>
        <v>3.5</v>
      </c>
      <c r="J49" s="19"/>
      <c r="K49" s="20"/>
    </row>
    <row r="50" spans="1:11">
      <c r="A50" s="17">
        <v>49</v>
      </c>
      <c r="B50" s="17">
        <v>10</v>
      </c>
      <c r="C50" s="17" t="s">
        <v>60</v>
      </c>
      <c r="D50" s="18" t="s">
        <v>24</v>
      </c>
      <c r="E50" s="18" t="s">
        <v>151</v>
      </c>
      <c r="F50" s="18" t="s">
        <v>152</v>
      </c>
      <c r="G50" s="27">
        <f>WORKDAY(總覽!$C$4,A50-1)</f>
        <v>46359</v>
      </c>
      <c r="H50" s="19"/>
      <c r="I50" s="17">
        <f>總覽!$C$5</f>
        <v>3.5</v>
      </c>
      <c r="J50" s="19"/>
      <c r="K50" s="20"/>
    </row>
    <row r="51" spans="1:11">
      <c r="A51" s="17">
        <v>50</v>
      </c>
      <c r="B51" s="17">
        <v>10</v>
      </c>
      <c r="C51" s="17" t="s">
        <v>63</v>
      </c>
      <c r="D51" s="18" t="s">
        <v>24</v>
      </c>
      <c r="E51" s="18" t="s">
        <v>153</v>
      </c>
      <c r="F51" s="18" t="s">
        <v>154</v>
      </c>
      <c r="G51" s="27">
        <f>WORKDAY(總覽!$C$4,A51-1)</f>
        <v>46360</v>
      </c>
      <c r="H51" s="19"/>
      <c r="I51" s="17">
        <f>總覽!$C$5</f>
        <v>3.5</v>
      </c>
      <c r="J51" s="19"/>
      <c r="K51" s="20"/>
    </row>
    <row r="52" spans="1:11">
      <c r="A52" s="13">
        <v>51</v>
      </c>
      <c r="B52" s="13">
        <v>11</v>
      </c>
      <c r="C52" s="13" t="s">
        <v>49</v>
      </c>
      <c r="D52" s="14" t="s">
        <v>24</v>
      </c>
      <c r="E52" s="14" t="s">
        <v>155</v>
      </c>
      <c r="F52" s="14" t="s">
        <v>156</v>
      </c>
      <c r="G52" s="26">
        <f>WORKDAY(總覽!$C$4,A52-1)</f>
        <v>46363</v>
      </c>
      <c r="H52" s="15"/>
      <c r="I52" s="13">
        <f>總覽!$C$5</f>
        <v>3.5</v>
      </c>
      <c r="J52" s="15"/>
      <c r="K52" s="16"/>
    </row>
    <row r="53" spans="1:11">
      <c r="A53" s="17">
        <v>52</v>
      </c>
      <c r="B53" s="17">
        <v>11</v>
      </c>
      <c r="C53" s="17" t="s">
        <v>54</v>
      </c>
      <c r="D53" s="18" t="s">
        <v>24</v>
      </c>
      <c r="E53" s="18" t="s">
        <v>157</v>
      </c>
      <c r="F53" s="18" t="s">
        <v>158</v>
      </c>
      <c r="G53" s="27">
        <f>WORKDAY(總覽!$C$4,A53-1)</f>
        <v>46364</v>
      </c>
      <c r="H53" s="19"/>
      <c r="I53" s="17">
        <f>總覽!$C$5</f>
        <v>3.5</v>
      </c>
      <c r="J53" s="19"/>
      <c r="K53" s="20"/>
    </row>
    <row r="54" spans="1:11">
      <c r="A54" s="17">
        <v>53</v>
      </c>
      <c r="B54" s="17">
        <v>11</v>
      </c>
      <c r="C54" s="17" t="s">
        <v>57</v>
      </c>
      <c r="D54" s="18" t="s">
        <v>24</v>
      </c>
      <c r="E54" s="18" t="s">
        <v>159</v>
      </c>
      <c r="F54" s="18" t="s">
        <v>160</v>
      </c>
      <c r="G54" s="27">
        <f>WORKDAY(總覽!$C$4,A54-1)</f>
        <v>46365</v>
      </c>
      <c r="H54" s="19"/>
      <c r="I54" s="17">
        <f>總覽!$C$5</f>
        <v>3.5</v>
      </c>
      <c r="J54" s="19"/>
      <c r="K54" s="20"/>
    </row>
    <row r="55" spans="1:11">
      <c r="A55" s="17">
        <v>54</v>
      </c>
      <c r="B55" s="17">
        <v>11</v>
      </c>
      <c r="C55" s="17" t="s">
        <v>60</v>
      </c>
      <c r="D55" s="18" t="s">
        <v>24</v>
      </c>
      <c r="E55" s="18" t="s">
        <v>161</v>
      </c>
      <c r="F55" s="18" t="s">
        <v>162</v>
      </c>
      <c r="G55" s="27">
        <f>WORKDAY(總覽!$C$4,A55-1)</f>
        <v>46366</v>
      </c>
      <c r="H55" s="19"/>
      <c r="I55" s="17">
        <f>總覽!$C$5</f>
        <v>3.5</v>
      </c>
      <c r="J55" s="19"/>
      <c r="K55" s="20"/>
    </row>
    <row r="56" spans="1:11">
      <c r="A56" s="17">
        <v>55</v>
      </c>
      <c r="B56" s="17">
        <v>11</v>
      </c>
      <c r="C56" s="17" t="s">
        <v>63</v>
      </c>
      <c r="D56" s="18" t="s">
        <v>24</v>
      </c>
      <c r="E56" s="18" t="s">
        <v>163</v>
      </c>
      <c r="F56" s="18" t="s">
        <v>164</v>
      </c>
      <c r="G56" s="27">
        <f>WORKDAY(總覽!$C$4,A56-1)</f>
        <v>46367</v>
      </c>
      <c r="H56" s="19"/>
      <c r="I56" s="17">
        <f>總覽!$C$5</f>
        <v>3.5</v>
      </c>
      <c r="J56" s="19"/>
      <c r="K56" s="20"/>
    </row>
    <row r="57" spans="1:11">
      <c r="A57" s="13">
        <v>56</v>
      </c>
      <c r="B57" s="13">
        <v>12</v>
      </c>
      <c r="C57" s="13" t="s">
        <v>49</v>
      </c>
      <c r="D57" s="14" t="s">
        <v>26</v>
      </c>
      <c r="E57" s="14" t="s">
        <v>165</v>
      </c>
      <c r="F57" s="14" t="s">
        <v>166</v>
      </c>
      <c r="G57" s="26">
        <f>WORKDAY(總覽!$C$4,A57-1)</f>
        <v>46370</v>
      </c>
      <c r="H57" s="15"/>
      <c r="I57" s="13">
        <f>總覽!$C$5</f>
        <v>3.5</v>
      </c>
      <c r="J57" s="15"/>
      <c r="K57" s="16"/>
    </row>
    <row r="58" spans="1:11">
      <c r="A58" s="17">
        <v>57</v>
      </c>
      <c r="B58" s="17">
        <v>12</v>
      </c>
      <c r="C58" s="17" t="s">
        <v>54</v>
      </c>
      <c r="D58" s="18" t="s">
        <v>26</v>
      </c>
      <c r="E58" s="18" t="s">
        <v>167</v>
      </c>
      <c r="F58" s="18" t="s">
        <v>168</v>
      </c>
      <c r="G58" s="27">
        <f>WORKDAY(總覽!$C$4,A58-1)</f>
        <v>46371</v>
      </c>
      <c r="H58" s="19"/>
      <c r="I58" s="17">
        <f>總覽!$C$5</f>
        <v>3.5</v>
      </c>
      <c r="J58" s="19"/>
      <c r="K58" s="20"/>
    </row>
    <row r="59" spans="1:11">
      <c r="A59" s="17">
        <v>58</v>
      </c>
      <c r="B59" s="17">
        <v>12</v>
      </c>
      <c r="C59" s="17" t="s">
        <v>57</v>
      </c>
      <c r="D59" s="18" t="s">
        <v>26</v>
      </c>
      <c r="E59" s="18" t="s">
        <v>169</v>
      </c>
      <c r="F59" s="18" t="s">
        <v>170</v>
      </c>
      <c r="G59" s="27">
        <f>WORKDAY(總覽!$C$4,A59-1)</f>
        <v>46372</v>
      </c>
      <c r="H59" s="19"/>
      <c r="I59" s="17">
        <f>總覽!$C$5</f>
        <v>3.5</v>
      </c>
      <c r="J59" s="19"/>
      <c r="K59" s="20"/>
    </row>
    <row r="60" spans="1:11">
      <c r="A60" s="17">
        <v>59</v>
      </c>
      <c r="B60" s="17">
        <v>12</v>
      </c>
      <c r="C60" s="17" t="s">
        <v>60</v>
      </c>
      <c r="D60" s="18" t="s">
        <v>26</v>
      </c>
      <c r="E60" s="18" t="s">
        <v>171</v>
      </c>
      <c r="F60" s="18" t="s">
        <v>172</v>
      </c>
      <c r="G60" s="27">
        <f>WORKDAY(總覽!$C$4,A60-1)</f>
        <v>46373</v>
      </c>
      <c r="H60" s="19"/>
      <c r="I60" s="17">
        <f>總覽!$C$5</f>
        <v>3.5</v>
      </c>
      <c r="J60" s="19"/>
      <c r="K60" s="20"/>
    </row>
    <row r="61" spans="1:11" ht="54" customHeight="1">
      <c r="A61" s="17">
        <v>60</v>
      </c>
      <c r="B61" s="17">
        <v>12</v>
      </c>
      <c r="C61" s="17" t="s">
        <v>63</v>
      </c>
      <c r="D61" s="18" t="s">
        <v>26</v>
      </c>
      <c r="E61" s="18" t="s">
        <v>173</v>
      </c>
      <c r="F61" s="18" t="s">
        <v>174</v>
      </c>
      <c r="G61" s="27">
        <f>WORKDAY(總覽!$C$4,A61-1)</f>
        <v>46374</v>
      </c>
      <c r="H61" s="19"/>
      <c r="I61" s="17">
        <f>總覽!$C$5</f>
        <v>3.5</v>
      </c>
      <c r="J61" s="19"/>
      <c r="K61" s="20"/>
    </row>
    <row r="62" spans="1:11">
      <c r="A62" s="13">
        <v>61</v>
      </c>
      <c r="B62" s="13">
        <v>13</v>
      </c>
      <c r="C62" s="13" t="s">
        <v>49</v>
      </c>
      <c r="D62" s="14" t="s">
        <v>26</v>
      </c>
      <c r="E62" s="14" t="s">
        <v>175</v>
      </c>
      <c r="F62" s="14" t="s">
        <v>176</v>
      </c>
      <c r="G62" s="26">
        <f>WORKDAY(總覽!$C$4,A62-1)</f>
        <v>46377</v>
      </c>
      <c r="H62" s="15"/>
      <c r="I62" s="13">
        <f>總覽!$C$5</f>
        <v>3.5</v>
      </c>
      <c r="J62" s="15"/>
      <c r="K62" s="16"/>
    </row>
    <row r="63" spans="1:11">
      <c r="A63" s="17">
        <v>62</v>
      </c>
      <c r="B63" s="17">
        <v>13</v>
      </c>
      <c r="C63" s="17" t="s">
        <v>54</v>
      </c>
      <c r="D63" s="18" t="s">
        <v>26</v>
      </c>
      <c r="E63" s="18" t="s">
        <v>177</v>
      </c>
      <c r="F63" s="18" t="s">
        <v>178</v>
      </c>
      <c r="G63" s="27">
        <f>WORKDAY(總覽!$C$4,A63-1)</f>
        <v>46378</v>
      </c>
      <c r="H63" s="19"/>
      <c r="I63" s="17">
        <f>總覽!$C$5</f>
        <v>3.5</v>
      </c>
      <c r="J63" s="19"/>
      <c r="K63" s="20"/>
    </row>
    <row r="64" spans="1:11">
      <c r="A64" s="17">
        <v>63</v>
      </c>
      <c r="B64" s="17">
        <v>13</v>
      </c>
      <c r="C64" s="17" t="s">
        <v>57</v>
      </c>
      <c r="D64" s="18" t="s">
        <v>26</v>
      </c>
      <c r="E64" s="18" t="s">
        <v>179</v>
      </c>
      <c r="F64" s="18" t="s">
        <v>180</v>
      </c>
      <c r="G64" s="27">
        <f>WORKDAY(總覽!$C$4,A64-1)</f>
        <v>46379</v>
      </c>
      <c r="H64" s="19"/>
      <c r="I64" s="17">
        <f>總覽!$C$5</f>
        <v>3.5</v>
      </c>
      <c r="J64" s="19"/>
      <c r="K64" s="20"/>
    </row>
    <row r="65" spans="1:11">
      <c r="A65" s="17">
        <v>64</v>
      </c>
      <c r="B65" s="17">
        <v>13</v>
      </c>
      <c r="C65" s="17" t="s">
        <v>60</v>
      </c>
      <c r="D65" s="18" t="s">
        <v>26</v>
      </c>
      <c r="E65" s="18" t="s">
        <v>181</v>
      </c>
      <c r="F65" s="18" t="s">
        <v>182</v>
      </c>
      <c r="G65" s="27">
        <f>WORKDAY(總覽!$C$4,A65-1)</f>
        <v>46380</v>
      </c>
      <c r="H65" s="19"/>
      <c r="I65" s="17">
        <f>總覽!$C$5</f>
        <v>3.5</v>
      </c>
      <c r="J65" s="19"/>
      <c r="K65" s="20"/>
    </row>
    <row r="66" spans="1:11">
      <c r="A66" s="17">
        <v>65</v>
      </c>
      <c r="B66" s="17">
        <v>13</v>
      </c>
      <c r="C66" s="17" t="s">
        <v>63</v>
      </c>
      <c r="D66" s="18" t="s">
        <v>26</v>
      </c>
      <c r="E66" s="18" t="s">
        <v>183</v>
      </c>
      <c r="F66" s="18" t="s">
        <v>184</v>
      </c>
      <c r="G66" s="27">
        <f>WORKDAY(總覽!$C$4,A66-1)</f>
        <v>46381</v>
      </c>
      <c r="H66" s="19"/>
      <c r="I66" s="17">
        <f>總覽!$C$5</f>
        <v>3.5</v>
      </c>
      <c r="J66" s="19"/>
      <c r="K66" s="20"/>
    </row>
    <row r="67" spans="1:11">
      <c r="A67" s="13">
        <v>66</v>
      </c>
      <c r="B67" s="13">
        <v>14</v>
      </c>
      <c r="C67" s="13" t="s">
        <v>49</v>
      </c>
      <c r="D67" s="14" t="s">
        <v>28</v>
      </c>
      <c r="E67" s="14" t="s">
        <v>185</v>
      </c>
      <c r="F67" s="14" t="s">
        <v>186</v>
      </c>
      <c r="G67" s="26">
        <f>WORKDAY(總覽!$C$4,A67-1)</f>
        <v>46384</v>
      </c>
      <c r="H67" s="15"/>
      <c r="I67" s="13">
        <f>總覽!$C$5</f>
        <v>3.5</v>
      </c>
      <c r="J67" s="15"/>
      <c r="K67" s="16"/>
    </row>
    <row r="68" spans="1:11">
      <c r="A68" s="17">
        <v>67</v>
      </c>
      <c r="B68" s="17">
        <v>14</v>
      </c>
      <c r="C68" s="17" t="s">
        <v>54</v>
      </c>
      <c r="D68" s="18" t="s">
        <v>28</v>
      </c>
      <c r="E68" s="18" t="s">
        <v>187</v>
      </c>
      <c r="F68" s="18" t="s">
        <v>188</v>
      </c>
      <c r="G68" s="27">
        <f>WORKDAY(總覽!$C$4,A68-1)</f>
        <v>46385</v>
      </c>
      <c r="H68" s="19"/>
      <c r="I68" s="17">
        <f>總覽!$C$5</f>
        <v>3.5</v>
      </c>
      <c r="J68" s="19"/>
      <c r="K68" s="20"/>
    </row>
    <row r="69" spans="1:11">
      <c r="A69" s="17">
        <v>68</v>
      </c>
      <c r="B69" s="17">
        <v>14</v>
      </c>
      <c r="C69" s="17" t="s">
        <v>57</v>
      </c>
      <c r="D69" s="18" t="s">
        <v>28</v>
      </c>
      <c r="E69" s="18" t="s">
        <v>189</v>
      </c>
      <c r="F69" s="18" t="s">
        <v>190</v>
      </c>
      <c r="G69" s="27">
        <f>WORKDAY(總覽!$C$4,A69-1)</f>
        <v>46386</v>
      </c>
      <c r="H69" s="19"/>
      <c r="I69" s="17">
        <f>總覽!$C$5</f>
        <v>3.5</v>
      </c>
      <c r="J69" s="19"/>
      <c r="K69" s="20"/>
    </row>
    <row r="70" spans="1:11">
      <c r="A70" s="17">
        <v>69</v>
      </c>
      <c r="B70" s="17">
        <v>14</v>
      </c>
      <c r="C70" s="17" t="s">
        <v>60</v>
      </c>
      <c r="D70" s="18" t="s">
        <v>28</v>
      </c>
      <c r="E70" s="18" t="s">
        <v>191</v>
      </c>
      <c r="F70" s="18" t="s">
        <v>192</v>
      </c>
      <c r="G70" s="27">
        <f>WORKDAY(總覽!$C$4,A70-1)</f>
        <v>46387</v>
      </c>
      <c r="H70" s="19"/>
      <c r="I70" s="17">
        <f>總覽!$C$5</f>
        <v>3.5</v>
      </c>
      <c r="J70" s="19"/>
      <c r="K70" s="20"/>
    </row>
    <row r="71" spans="1:11">
      <c r="A71" s="17">
        <v>70</v>
      </c>
      <c r="B71" s="17">
        <v>14</v>
      </c>
      <c r="C71" s="17" t="s">
        <v>63</v>
      </c>
      <c r="D71" s="18" t="s">
        <v>28</v>
      </c>
      <c r="E71" s="18" t="s">
        <v>193</v>
      </c>
      <c r="F71" s="18" t="s">
        <v>194</v>
      </c>
      <c r="G71" s="27">
        <f>WORKDAY(總覽!$C$4,A71-1)</f>
        <v>46388</v>
      </c>
      <c r="H71" s="19"/>
      <c r="I71" s="17">
        <f>總覽!$C$5</f>
        <v>3.5</v>
      </c>
      <c r="J71" s="19"/>
      <c r="K71" s="20"/>
    </row>
    <row r="72" spans="1:11">
      <c r="A72" s="13">
        <v>71</v>
      </c>
      <c r="B72" s="13">
        <v>15</v>
      </c>
      <c r="C72" s="13" t="s">
        <v>49</v>
      </c>
      <c r="D72" s="14" t="s">
        <v>28</v>
      </c>
      <c r="E72" s="14" t="s">
        <v>195</v>
      </c>
      <c r="F72" s="14" t="s">
        <v>196</v>
      </c>
      <c r="G72" s="26">
        <f>WORKDAY(總覽!$C$4,A72-1)</f>
        <v>46391</v>
      </c>
      <c r="H72" s="15"/>
      <c r="I72" s="13">
        <f>總覽!$C$5</f>
        <v>3.5</v>
      </c>
      <c r="J72" s="15"/>
      <c r="K72" s="16"/>
    </row>
    <row r="73" spans="1:11">
      <c r="A73" s="17">
        <v>72</v>
      </c>
      <c r="B73" s="17">
        <v>15</v>
      </c>
      <c r="C73" s="17" t="s">
        <v>54</v>
      </c>
      <c r="D73" s="18" t="s">
        <v>28</v>
      </c>
      <c r="E73" s="18" t="s">
        <v>197</v>
      </c>
      <c r="F73" s="18" t="s">
        <v>198</v>
      </c>
      <c r="G73" s="27">
        <f>WORKDAY(總覽!$C$4,A73-1)</f>
        <v>46392</v>
      </c>
      <c r="H73" s="19"/>
      <c r="I73" s="17">
        <f>總覽!$C$5</f>
        <v>3.5</v>
      </c>
      <c r="J73" s="19"/>
      <c r="K73" s="20"/>
    </row>
    <row r="74" spans="1:11">
      <c r="A74" s="17">
        <v>73</v>
      </c>
      <c r="B74" s="17">
        <v>15</v>
      </c>
      <c r="C74" s="17" t="s">
        <v>57</v>
      </c>
      <c r="D74" s="18" t="s">
        <v>28</v>
      </c>
      <c r="E74" s="18" t="s">
        <v>199</v>
      </c>
      <c r="F74" s="18" t="s">
        <v>200</v>
      </c>
      <c r="G74" s="27">
        <f>WORKDAY(總覽!$C$4,A74-1)</f>
        <v>46393</v>
      </c>
      <c r="H74" s="19"/>
      <c r="I74" s="17">
        <f>總覽!$C$5</f>
        <v>3.5</v>
      </c>
      <c r="J74" s="19"/>
      <c r="K74" s="20"/>
    </row>
    <row r="75" spans="1:11">
      <c r="A75" s="17">
        <v>74</v>
      </c>
      <c r="B75" s="17">
        <v>15</v>
      </c>
      <c r="C75" s="17" t="s">
        <v>60</v>
      </c>
      <c r="D75" s="18" t="s">
        <v>28</v>
      </c>
      <c r="E75" s="18" t="s">
        <v>201</v>
      </c>
      <c r="F75" s="18" t="s">
        <v>202</v>
      </c>
      <c r="G75" s="27">
        <f>WORKDAY(總覽!$C$4,A75-1)</f>
        <v>46394</v>
      </c>
      <c r="H75" s="19"/>
      <c r="I75" s="17">
        <f>總覽!$C$5</f>
        <v>3.5</v>
      </c>
      <c r="J75" s="19"/>
      <c r="K75" s="20"/>
    </row>
    <row r="76" spans="1:11">
      <c r="A76" s="17">
        <v>75</v>
      </c>
      <c r="B76" s="17">
        <v>15</v>
      </c>
      <c r="C76" s="17" t="s">
        <v>63</v>
      </c>
      <c r="D76" s="18" t="s">
        <v>28</v>
      </c>
      <c r="E76" s="18" t="s">
        <v>203</v>
      </c>
      <c r="F76" s="18" t="s">
        <v>204</v>
      </c>
      <c r="G76" s="27">
        <f>WORKDAY(總覽!$C$4,A76-1)</f>
        <v>46395</v>
      </c>
      <c r="H76" s="19"/>
      <c r="I76" s="17">
        <f>總覽!$C$5</f>
        <v>3.5</v>
      </c>
      <c r="J76" s="19"/>
      <c r="K76" s="20"/>
    </row>
    <row r="77" spans="1:11">
      <c r="A77" s="13">
        <v>76</v>
      </c>
      <c r="B77" s="13">
        <v>16</v>
      </c>
      <c r="C77" s="13" t="s">
        <v>49</v>
      </c>
      <c r="D77" s="14" t="s">
        <v>28</v>
      </c>
      <c r="E77" s="14" t="s">
        <v>205</v>
      </c>
      <c r="F77" s="14" t="s">
        <v>206</v>
      </c>
      <c r="G77" s="26">
        <f>WORKDAY(總覽!$C$4,A77-1)</f>
        <v>46398</v>
      </c>
      <c r="H77" s="15"/>
      <c r="I77" s="13">
        <f>總覽!$C$5</f>
        <v>3.5</v>
      </c>
      <c r="J77" s="15"/>
      <c r="K77" s="16"/>
    </row>
    <row r="78" spans="1:11">
      <c r="A78" s="17">
        <v>77</v>
      </c>
      <c r="B78" s="17">
        <v>16</v>
      </c>
      <c r="C78" s="17" t="s">
        <v>54</v>
      </c>
      <c r="D78" s="18" t="s">
        <v>28</v>
      </c>
      <c r="E78" s="18" t="s">
        <v>207</v>
      </c>
      <c r="F78" s="18" t="s">
        <v>208</v>
      </c>
      <c r="G78" s="27">
        <f>WORKDAY(總覽!$C$4,A78-1)</f>
        <v>46399</v>
      </c>
      <c r="H78" s="19"/>
      <c r="I78" s="17">
        <f>總覽!$C$5</f>
        <v>3.5</v>
      </c>
      <c r="J78" s="19"/>
      <c r="K78" s="20"/>
    </row>
    <row r="79" spans="1:11">
      <c r="A79" s="17">
        <v>78</v>
      </c>
      <c r="B79" s="17">
        <v>16</v>
      </c>
      <c r="C79" s="17" t="s">
        <v>57</v>
      </c>
      <c r="D79" s="18" t="s">
        <v>28</v>
      </c>
      <c r="E79" s="18" t="s">
        <v>209</v>
      </c>
      <c r="F79" s="18" t="s">
        <v>210</v>
      </c>
      <c r="G79" s="27">
        <f>WORKDAY(總覽!$C$4,A79-1)</f>
        <v>46400</v>
      </c>
      <c r="H79" s="19"/>
      <c r="I79" s="17">
        <f>總覽!$C$5</f>
        <v>3.5</v>
      </c>
      <c r="J79" s="19"/>
      <c r="K79" s="20"/>
    </row>
    <row r="80" spans="1:11">
      <c r="A80" s="17">
        <v>79</v>
      </c>
      <c r="B80" s="17">
        <v>16</v>
      </c>
      <c r="C80" s="17" t="s">
        <v>60</v>
      </c>
      <c r="D80" s="18" t="s">
        <v>28</v>
      </c>
      <c r="E80" s="18" t="s">
        <v>211</v>
      </c>
      <c r="F80" s="18" t="s">
        <v>212</v>
      </c>
      <c r="G80" s="27">
        <f>WORKDAY(總覽!$C$4,A80-1)</f>
        <v>46401</v>
      </c>
      <c r="H80" s="19"/>
      <c r="I80" s="17">
        <f>總覽!$C$5</f>
        <v>3.5</v>
      </c>
      <c r="J80" s="19"/>
      <c r="K80" s="20"/>
    </row>
    <row r="81" spans="1:11">
      <c r="A81" s="17">
        <v>80</v>
      </c>
      <c r="B81" s="17">
        <v>16</v>
      </c>
      <c r="C81" s="17" t="s">
        <v>63</v>
      </c>
      <c r="D81" s="18" t="s">
        <v>28</v>
      </c>
      <c r="E81" s="18" t="s">
        <v>213</v>
      </c>
      <c r="F81" s="18" t="s">
        <v>214</v>
      </c>
      <c r="G81" s="27">
        <f>WORKDAY(總覽!$C$4,A81-1)</f>
        <v>46402</v>
      </c>
      <c r="H81" s="19"/>
      <c r="I81" s="17">
        <f>總覽!$C$5</f>
        <v>3.5</v>
      </c>
      <c r="J81" s="19"/>
      <c r="K81" s="20"/>
    </row>
    <row r="82" spans="1:11">
      <c r="A82" s="13">
        <v>81</v>
      </c>
      <c r="B82" s="13">
        <v>17</v>
      </c>
      <c r="C82" s="13" t="s">
        <v>49</v>
      </c>
      <c r="D82" s="14" t="s">
        <v>28</v>
      </c>
      <c r="E82" s="14" t="s">
        <v>215</v>
      </c>
      <c r="F82" s="14" t="s">
        <v>216</v>
      </c>
      <c r="G82" s="26">
        <f>WORKDAY(總覽!$C$4,A82-1)</f>
        <v>46405</v>
      </c>
      <c r="H82" s="15"/>
      <c r="I82" s="13">
        <f>總覽!$C$5</f>
        <v>3.5</v>
      </c>
      <c r="J82" s="15"/>
      <c r="K82" s="16"/>
    </row>
    <row r="83" spans="1:11">
      <c r="A83" s="17">
        <v>82</v>
      </c>
      <c r="B83" s="17">
        <v>17</v>
      </c>
      <c r="C83" s="17" t="s">
        <v>54</v>
      </c>
      <c r="D83" s="18" t="s">
        <v>28</v>
      </c>
      <c r="E83" s="18" t="s">
        <v>217</v>
      </c>
      <c r="F83" s="18" t="s">
        <v>218</v>
      </c>
      <c r="G83" s="27">
        <f>WORKDAY(總覽!$C$4,A83-1)</f>
        <v>46406</v>
      </c>
      <c r="H83" s="19"/>
      <c r="I83" s="17">
        <f>總覽!$C$5</f>
        <v>3.5</v>
      </c>
      <c r="J83" s="19"/>
      <c r="K83" s="20"/>
    </row>
    <row r="84" spans="1:11">
      <c r="A84" s="17">
        <v>83</v>
      </c>
      <c r="B84" s="17">
        <v>17</v>
      </c>
      <c r="C84" s="17" t="s">
        <v>57</v>
      </c>
      <c r="D84" s="18" t="s">
        <v>28</v>
      </c>
      <c r="E84" s="18" t="s">
        <v>219</v>
      </c>
      <c r="F84" s="18" t="s">
        <v>220</v>
      </c>
      <c r="G84" s="27">
        <f>WORKDAY(總覽!$C$4,A84-1)</f>
        <v>46407</v>
      </c>
      <c r="H84" s="19"/>
      <c r="I84" s="17">
        <f>總覽!$C$5</f>
        <v>3.5</v>
      </c>
      <c r="J84" s="19"/>
      <c r="K84" s="20"/>
    </row>
    <row r="85" spans="1:11">
      <c r="A85" s="17">
        <v>84</v>
      </c>
      <c r="B85" s="17">
        <v>17</v>
      </c>
      <c r="C85" s="17" t="s">
        <v>60</v>
      </c>
      <c r="D85" s="18" t="s">
        <v>28</v>
      </c>
      <c r="E85" s="18" t="s">
        <v>221</v>
      </c>
      <c r="F85" s="18" t="s">
        <v>222</v>
      </c>
      <c r="G85" s="27">
        <f>WORKDAY(總覽!$C$4,A85-1)</f>
        <v>46408</v>
      </c>
      <c r="H85" s="19"/>
      <c r="I85" s="17">
        <f>總覽!$C$5</f>
        <v>3.5</v>
      </c>
      <c r="J85" s="19"/>
      <c r="K85" s="20"/>
    </row>
    <row r="86" spans="1:11">
      <c r="A86" s="17">
        <v>85</v>
      </c>
      <c r="B86" s="17">
        <v>17</v>
      </c>
      <c r="C86" s="17" t="s">
        <v>63</v>
      </c>
      <c r="D86" s="18" t="s">
        <v>28</v>
      </c>
      <c r="E86" s="18" t="s">
        <v>223</v>
      </c>
      <c r="F86" s="18" t="s">
        <v>224</v>
      </c>
      <c r="G86" s="27">
        <f>WORKDAY(總覽!$C$4,A86-1)</f>
        <v>46409</v>
      </c>
      <c r="H86" s="19"/>
      <c r="I86" s="17">
        <f>總覽!$C$5</f>
        <v>3.5</v>
      </c>
      <c r="J86" s="19"/>
      <c r="K86" s="20"/>
    </row>
    <row r="87" spans="1:11">
      <c r="A87" s="13">
        <v>86</v>
      </c>
      <c r="B87" s="13">
        <v>18</v>
      </c>
      <c r="C87" s="13" t="s">
        <v>49</v>
      </c>
      <c r="D87" s="14" t="s">
        <v>28</v>
      </c>
      <c r="E87" s="14" t="s">
        <v>225</v>
      </c>
      <c r="F87" s="14" t="s">
        <v>226</v>
      </c>
      <c r="G87" s="26">
        <f>WORKDAY(總覽!$C$4,A87-1)</f>
        <v>46412</v>
      </c>
      <c r="H87" s="15"/>
      <c r="I87" s="13">
        <f>總覽!$C$5</f>
        <v>3.5</v>
      </c>
      <c r="J87" s="15"/>
      <c r="K87" s="16"/>
    </row>
    <row r="88" spans="1:11">
      <c r="A88" s="17">
        <v>87</v>
      </c>
      <c r="B88" s="17">
        <v>18</v>
      </c>
      <c r="C88" s="17" t="s">
        <v>54</v>
      </c>
      <c r="D88" s="18" t="s">
        <v>28</v>
      </c>
      <c r="E88" s="18" t="s">
        <v>227</v>
      </c>
      <c r="F88" s="18" t="s">
        <v>228</v>
      </c>
      <c r="G88" s="27">
        <f>WORKDAY(總覽!$C$4,A88-1)</f>
        <v>46413</v>
      </c>
      <c r="H88" s="19"/>
      <c r="I88" s="17">
        <f>總覽!$C$5</f>
        <v>3.5</v>
      </c>
      <c r="J88" s="19"/>
      <c r="K88" s="20"/>
    </row>
    <row r="89" spans="1:11">
      <c r="A89" s="17">
        <v>88</v>
      </c>
      <c r="B89" s="17">
        <v>18</v>
      </c>
      <c r="C89" s="17" t="s">
        <v>57</v>
      </c>
      <c r="D89" s="18" t="s">
        <v>28</v>
      </c>
      <c r="E89" s="18" t="s">
        <v>229</v>
      </c>
      <c r="F89" s="18" t="s">
        <v>230</v>
      </c>
      <c r="G89" s="27">
        <f>WORKDAY(總覽!$C$4,A89-1)</f>
        <v>46414</v>
      </c>
      <c r="H89" s="19"/>
      <c r="I89" s="17">
        <f>總覽!$C$5</f>
        <v>3.5</v>
      </c>
      <c r="J89" s="19"/>
      <c r="K89" s="20"/>
    </row>
    <row r="90" spans="1:11">
      <c r="A90" s="17">
        <v>89</v>
      </c>
      <c r="B90" s="17">
        <v>18</v>
      </c>
      <c r="C90" s="17" t="s">
        <v>60</v>
      </c>
      <c r="D90" s="18" t="s">
        <v>28</v>
      </c>
      <c r="E90" s="18" t="s">
        <v>231</v>
      </c>
      <c r="F90" s="18" t="s">
        <v>232</v>
      </c>
      <c r="G90" s="27">
        <f>WORKDAY(總覽!$C$4,A90-1)</f>
        <v>46415</v>
      </c>
      <c r="H90" s="19"/>
      <c r="I90" s="17">
        <f>總覽!$C$5</f>
        <v>3.5</v>
      </c>
      <c r="J90" s="19"/>
      <c r="K90" s="20"/>
    </row>
    <row r="91" spans="1:11">
      <c r="A91" s="17">
        <v>90</v>
      </c>
      <c r="B91" s="17">
        <v>18</v>
      </c>
      <c r="C91" s="17" t="s">
        <v>63</v>
      </c>
      <c r="D91" s="18" t="s">
        <v>28</v>
      </c>
      <c r="E91" s="18" t="s">
        <v>233</v>
      </c>
      <c r="F91" s="18" t="s">
        <v>234</v>
      </c>
      <c r="G91" s="27">
        <f>WORKDAY(總覽!$C$4,A91-1)</f>
        <v>46416</v>
      </c>
      <c r="H91" s="19"/>
      <c r="I91" s="17">
        <f>總覽!$C$5</f>
        <v>3.5</v>
      </c>
      <c r="J91" s="19"/>
      <c r="K91" s="20"/>
    </row>
    <row r="92" spans="1:11">
      <c r="A92" s="13">
        <v>91</v>
      </c>
      <c r="B92" s="13">
        <v>19</v>
      </c>
      <c r="C92" s="13" t="s">
        <v>49</v>
      </c>
      <c r="D92" s="14" t="s">
        <v>28</v>
      </c>
      <c r="E92" s="14" t="s">
        <v>235</v>
      </c>
      <c r="F92" s="14" t="s">
        <v>236</v>
      </c>
      <c r="G92" s="26">
        <f>WORKDAY(總覽!$C$4,A92-1)</f>
        <v>46419</v>
      </c>
      <c r="H92" s="15"/>
      <c r="I92" s="13">
        <f>總覽!$C$5</f>
        <v>3.5</v>
      </c>
      <c r="J92" s="15"/>
      <c r="K92" s="16"/>
    </row>
    <row r="93" spans="1:11">
      <c r="A93" s="17">
        <v>92</v>
      </c>
      <c r="B93" s="17">
        <v>19</v>
      </c>
      <c r="C93" s="17" t="s">
        <v>54</v>
      </c>
      <c r="D93" s="18" t="s">
        <v>28</v>
      </c>
      <c r="E93" s="18" t="s">
        <v>237</v>
      </c>
      <c r="F93" s="18" t="s">
        <v>238</v>
      </c>
      <c r="G93" s="27">
        <f>WORKDAY(總覽!$C$4,A93-1)</f>
        <v>46420</v>
      </c>
      <c r="H93" s="19"/>
      <c r="I93" s="17">
        <f>總覽!$C$5</f>
        <v>3.5</v>
      </c>
      <c r="J93" s="19"/>
      <c r="K93" s="20"/>
    </row>
    <row r="94" spans="1:11">
      <c r="A94" s="17">
        <v>93</v>
      </c>
      <c r="B94" s="17">
        <v>19</v>
      </c>
      <c r="C94" s="17" t="s">
        <v>57</v>
      </c>
      <c r="D94" s="18" t="s">
        <v>28</v>
      </c>
      <c r="E94" s="18" t="s">
        <v>239</v>
      </c>
      <c r="F94" s="18" t="s">
        <v>240</v>
      </c>
      <c r="G94" s="27">
        <f>WORKDAY(總覽!$C$4,A94-1)</f>
        <v>46421</v>
      </c>
      <c r="H94" s="19"/>
      <c r="I94" s="17">
        <f>總覽!$C$5</f>
        <v>3.5</v>
      </c>
      <c r="J94" s="19"/>
      <c r="K94" s="20"/>
    </row>
    <row r="95" spans="1:11">
      <c r="A95" s="17">
        <v>94</v>
      </c>
      <c r="B95" s="17">
        <v>19</v>
      </c>
      <c r="C95" s="17" t="s">
        <v>60</v>
      </c>
      <c r="D95" s="18" t="s">
        <v>28</v>
      </c>
      <c r="E95" s="18" t="s">
        <v>241</v>
      </c>
      <c r="F95" s="18" t="s">
        <v>242</v>
      </c>
      <c r="G95" s="27">
        <f>WORKDAY(總覽!$C$4,A95-1)</f>
        <v>46422</v>
      </c>
      <c r="H95" s="19"/>
      <c r="I95" s="17">
        <f>總覽!$C$5</f>
        <v>3.5</v>
      </c>
      <c r="J95" s="19"/>
      <c r="K95" s="20"/>
    </row>
    <row r="96" spans="1:11">
      <c r="A96" s="17">
        <v>95</v>
      </c>
      <c r="B96" s="17">
        <v>19</v>
      </c>
      <c r="C96" s="17" t="s">
        <v>63</v>
      </c>
      <c r="D96" s="18" t="s">
        <v>28</v>
      </c>
      <c r="E96" s="18" t="s">
        <v>243</v>
      </c>
      <c r="F96" s="18" t="s">
        <v>244</v>
      </c>
      <c r="G96" s="27">
        <f>WORKDAY(總覽!$C$4,A96-1)</f>
        <v>46423</v>
      </c>
      <c r="H96" s="19"/>
      <c r="I96" s="17">
        <f>總覽!$C$5</f>
        <v>3.5</v>
      </c>
      <c r="J96" s="19"/>
      <c r="K96" s="20"/>
    </row>
    <row r="97" spans="1:11">
      <c r="A97" s="13">
        <v>96</v>
      </c>
      <c r="B97" s="13">
        <v>20</v>
      </c>
      <c r="C97" s="13" t="s">
        <v>49</v>
      </c>
      <c r="D97" s="14" t="s">
        <v>30</v>
      </c>
      <c r="E97" s="14" t="s">
        <v>245</v>
      </c>
      <c r="F97" s="14" t="s">
        <v>246</v>
      </c>
      <c r="G97" s="26">
        <f>WORKDAY(總覽!$C$4,A97-1)</f>
        <v>46426</v>
      </c>
      <c r="H97" s="15"/>
      <c r="I97" s="13">
        <f>總覽!$C$5</f>
        <v>3.5</v>
      </c>
      <c r="J97" s="15"/>
      <c r="K97" s="16"/>
    </row>
    <row r="98" spans="1:11">
      <c r="A98" s="17">
        <v>97</v>
      </c>
      <c r="B98" s="17">
        <v>20</v>
      </c>
      <c r="C98" s="17" t="s">
        <v>54</v>
      </c>
      <c r="D98" s="18" t="s">
        <v>30</v>
      </c>
      <c r="E98" s="18" t="s">
        <v>247</v>
      </c>
      <c r="F98" s="18" t="s">
        <v>248</v>
      </c>
      <c r="G98" s="27">
        <f>WORKDAY(總覽!$C$4,A98-1)</f>
        <v>46427</v>
      </c>
      <c r="H98" s="19"/>
      <c r="I98" s="17">
        <f>總覽!$C$5</f>
        <v>3.5</v>
      </c>
      <c r="J98" s="19"/>
      <c r="K98" s="20"/>
    </row>
    <row r="99" spans="1:11">
      <c r="A99" s="17">
        <v>98</v>
      </c>
      <c r="B99" s="17">
        <v>20</v>
      </c>
      <c r="C99" s="17" t="s">
        <v>57</v>
      </c>
      <c r="D99" s="18" t="s">
        <v>30</v>
      </c>
      <c r="E99" s="18" t="s">
        <v>249</v>
      </c>
      <c r="F99" s="18" t="s">
        <v>250</v>
      </c>
      <c r="G99" s="27">
        <f>WORKDAY(總覽!$C$4,A99-1)</f>
        <v>46428</v>
      </c>
      <c r="H99" s="19"/>
      <c r="I99" s="17">
        <f>總覽!$C$5</f>
        <v>3.5</v>
      </c>
      <c r="J99" s="19"/>
      <c r="K99" s="20"/>
    </row>
    <row r="100" spans="1:11">
      <c r="A100" s="17">
        <v>99</v>
      </c>
      <c r="B100" s="17">
        <v>20</v>
      </c>
      <c r="C100" s="17" t="s">
        <v>60</v>
      </c>
      <c r="D100" s="18" t="s">
        <v>30</v>
      </c>
      <c r="E100" s="18" t="s">
        <v>251</v>
      </c>
      <c r="F100" s="18" t="s">
        <v>234</v>
      </c>
      <c r="G100" s="27">
        <f>WORKDAY(總覽!$C$4,A100-1)</f>
        <v>46429</v>
      </c>
      <c r="H100" s="19"/>
      <c r="I100" s="17">
        <f>總覽!$C$5</f>
        <v>3.5</v>
      </c>
      <c r="J100" s="19"/>
      <c r="K100" s="20"/>
    </row>
    <row r="101" spans="1:11">
      <c r="A101" s="17">
        <v>100</v>
      </c>
      <c r="B101" s="17">
        <v>20</v>
      </c>
      <c r="C101" s="17" t="s">
        <v>63</v>
      </c>
      <c r="D101" s="18" t="s">
        <v>30</v>
      </c>
      <c r="E101" s="18" t="s">
        <v>252</v>
      </c>
      <c r="F101" s="18" t="s">
        <v>253</v>
      </c>
      <c r="G101" s="27">
        <f>WORKDAY(總覽!$C$4,A101-1)</f>
        <v>46430</v>
      </c>
      <c r="H101" s="19"/>
      <c r="I101" s="17">
        <f>總覽!$C$5</f>
        <v>3.5</v>
      </c>
      <c r="J101" s="19"/>
      <c r="K101" s="20"/>
    </row>
  </sheetData>
  <autoFilter ref="A1:K101" xr:uid="{00000000-0009-0000-0000-000001000000}"/>
  <phoneticPr fontId="9" type="noConversion"/>
  <conditionalFormatting sqref="A2:G101">
    <cfRule type="expression" dxfId="1" priority="1">
      <formula>$H2="✔"</formula>
    </cfRule>
  </conditionalFormatting>
  <dataValidations count="2">
    <dataValidation type="list" allowBlank="1" sqref="H2:H101" xr:uid="{00000000-0002-0000-0100-000000000000}">
      <formula1>"✔"</formula1>
    </dataValidation>
    <dataValidation type="decimal" allowBlank="1" sqref="J2:J101" xr:uid="{00000000-0002-0000-0100-000001000000}">
      <formula1>0</formula1>
      <formula2>24</formula2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5.75"/>
  <cols>
    <col min="1" max="1" width="5" style="21" customWidth="1"/>
    <col min="2" max="2" width="16" style="21" customWidth="1"/>
    <col min="3" max="3" width="70" style="21" customWidth="1"/>
    <col min="4" max="4" width="7" style="21" customWidth="1"/>
    <col min="5" max="5" width="12" style="21" customWidth="1"/>
    <col min="6" max="6" width="36" style="21" customWidth="1"/>
  </cols>
  <sheetData>
    <row r="1" spans="1:6">
      <c r="A1" s="9" t="s">
        <v>40</v>
      </c>
      <c r="B1" s="9" t="s">
        <v>14</v>
      </c>
      <c r="C1" s="9" t="s">
        <v>254</v>
      </c>
      <c r="D1" s="9" t="s">
        <v>45</v>
      </c>
      <c r="E1" s="9" t="s">
        <v>255</v>
      </c>
      <c r="F1" s="9" t="s">
        <v>256</v>
      </c>
    </row>
    <row r="2" spans="1:6">
      <c r="A2" s="17">
        <v>1</v>
      </c>
      <c r="B2" s="18" t="s">
        <v>16</v>
      </c>
      <c r="C2" s="18" t="s">
        <v>257</v>
      </c>
      <c r="D2" s="19"/>
      <c r="E2" s="28"/>
      <c r="F2" s="20"/>
    </row>
    <row r="3" spans="1:6">
      <c r="A3" s="17">
        <v>2</v>
      </c>
      <c r="B3" s="18" t="s">
        <v>16</v>
      </c>
      <c r="C3" s="18" t="s">
        <v>258</v>
      </c>
      <c r="D3" s="19"/>
      <c r="E3" s="28"/>
      <c r="F3" s="20"/>
    </row>
    <row r="4" spans="1:6">
      <c r="A4" s="17">
        <v>3</v>
      </c>
      <c r="B4" s="18" t="s">
        <v>18</v>
      </c>
      <c r="C4" s="18" t="s">
        <v>259</v>
      </c>
      <c r="D4" s="19"/>
      <c r="E4" s="28"/>
      <c r="F4" s="20"/>
    </row>
    <row r="5" spans="1:6">
      <c r="A5" s="17">
        <v>4</v>
      </c>
      <c r="B5" s="18" t="s">
        <v>18</v>
      </c>
      <c r="C5" s="18" t="s">
        <v>260</v>
      </c>
      <c r="D5" s="19"/>
      <c r="E5" s="28"/>
      <c r="F5" s="20"/>
    </row>
    <row r="6" spans="1:6">
      <c r="A6" s="17">
        <v>5</v>
      </c>
      <c r="B6" s="18" t="s">
        <v>20</v>
      </c>
      <c r="C6" s="18" t="s">
        <v>261</v>
      </c>
      <c r="D6" s="19"/>
      <c r="E6" s="28"/>
      <c r="F6" s="20"/>
    </row>
    <row r="7" spans="1:6">
      <c r="A7" s="17">
        <v>6</v>
      </c>
      <c r="B7" s="18" t="s">
        <v>20</v>
      </c>
      <c r="C7" s="18" t="s">
        <v>262</v>
      </c>
      <c r="D7" s="19"/>
      <c r="E7" s="28"/>
      <c r="F7" s="20"/>
    </row>
    <row r="8" spans="1:6">
      <c r="A8" s="17">
        <v>7</v>
      </c>
      <c r="B8" s="18" t="s">
        <v>20</v>
      </c>
      <c r="C8" s="18" t="s">
        <v>263</v>
      </c>
      <c r="D8" s="19"/>
      <c r="E8" s="28"/>
      <c r="F8" s="20"/>
    </row>
    <row r="9" spans="1:6">
      <c r="A9" s="17">
        <v>8</v>
      </c>
      <c r="B9" s="18" t="s">
        <v>22</v>
      </c>
      <c r="C9" s="18" t="s">
        <v>264</v>
      </c>
      <c r="D9" s="19"/>
      <c r="E9" s="28"/>
      <c r="F9" s="20"/>
    </row>
    <row r="10" spans="1:6">
      <c r="A10" s="17">
        <v>9</v>
      </c>
      <c r="B10" s="18" t="s">
        <v>22</v>
      </c>
      <c r="C10" s="18" t="s">
        <v>265</v>
      </c>
      <c r="D10" s="19"/>
      <c r="E10" s="28"/>
      <c r="F10" s="20"/>
    </row>
    <row r="11" spans="1:6">
      <c r="A11" s="17">
        <v>10</v>
      </c>
      <c r="B11" s="18" t="s">
        <v>24</v>
      </c>
      <c r="C11" s="18" t="s">
        <v>266</v>
      </c>
      <c r="D11" s="19"/>
      <c r="E11" s="28"/>
      <c r="F11" s="20"/>
    </row>
    <row r="12" spans="1:6">
      <c r="A12" s="17">
        <v>11</v>
      </c>
      <c r="B12" s="18" t="s">
        <v>24</v>
      </c>
      <c r="C12" s="18" t="s">
        <v>267</v>
      </c>
      <c r="D12" s="19"/>
      <c r="E12" s="28"/>
      <c r="F12" s="20"/>
    </row>
    <row r="13" spans="1:6">
      <c r="A13" s="17">
        <v>12</v>
      </c>
      <c r="B13" s="18" t="s">
        <v>26</v>
      </c>
      <c r="C13" s="18" t="s">
        <v>268</v>
      </c>
      <c r="D13" s="19"/>
      <c r="E13" s="28"/>
      <c r="F13" s="20"/>
    </row>
    <row r="14" spans="1:6">
      <c r="A14" s="17">
        <v>13</v>
      </c>
      <c r="B14" s="18" t="s">
        <v>26</v>
      </c>
      <c r="C14" s="18" t="s">
        <v>269</v>
      </c>
      <c r="D14" s="19"/>
      <c r="E14" s="28"/>
      <c r="F14" s="20"/>
    </row>
    <row r="15" spans="1:6">
      <c r="A15" s="17">
        <v>14</v>
      </c>
      <c r="B15" s="18" t="s">
        <v>28</v>
      </c>
      <c r="C15" s="18" t="s">
        <v>270</v>
      </c>
      <c r="D15" s="19"/>
      <c r="E15" s="28"/>
      <c r="F15" s="20"/>
    </row>
    <row r="16" spans="1:6">
      <c r="A16" s="17">
        <v>15</v>
      </c>
      <c r="B16" s="18" t="s">
        <v>28</v>
      </c>
      <c r="C16" s="18" t="s">
        <v>271</v>
      </c>
      <c r="D16" s="19"/>
      <c r="E16" s="28"/>
      <c r="F16" s="20"/>
    </row>
    <row r="17" spans="1:6">
      <c r="A17" s="17">
        <v>16</v>
      </c>
      <c r="B17" s="18" t="s">
        <v>28</v>
      </c>
      <c r="C17" s="18" t="s">
        <v>272</v>
      </c>
      <c r="D17" s="19"/>
      <c r="E17" s="28"/>
      <c r="F17" s="20"/>
    </row>
    <row r="18" spans="1:6">
      <c r="A18" s="17">
        <v>17</v>
      </c>
      <c r="B18" s="18" t="s">
        <v>28</v>
      </c>
      <c r="C18" s="18" t="s">
        <v>273</v>
      </c>
      <c r="D18" s="19"/>
      <c r="E18" s="28"/>
      <c r="F18" s="20"/>
    </row>
    <row r="19" spans="1:6">
      <c r="A19" s="17">
        <v>18</v>
      </c>
      <c r="B19" s="18" t="s">
        <v>28</v>
      </c>
      <c r="C19" s="18" t="s">
        <v>274</v>
      </c>
      <c r="D19" s="19"/>
      <c r="E19" s="28"/>
      <c r="F19" s="20"/>
    </row>
    <row r="20" spans="1:6">
      <c r="A20" s="17">
        <v>19</v>
      </c>
      <c r="B20" s="18" t="s">
        <v>28</v>
      </c>
      <c r="C20" s="18" t="s">
        <v>275</v>
      </c>
      <c r="D20" s="19"/>
      <c r="E20" s="28"/>
      <c r="F20" s="20"/>
    </row>
    <row r="21" spans="1:6">
      <c r="A21" s="17">
        <v>20</v>
      </c>
      <c r="B21" s="18" t="s">
        <v>30</v>
      </c>
      <c r="C21" s="18" t="s">
        <v>276</v>
      </c>
      <c r="D21" s="19"/>
      <c r="E21" s="28"/>
      <c r="F21" s="20"/>
    </row>
  </sheetData>
  <phoneticPr fontId="9" type="noConversion"/>
  <conditionalFormatting sqref="A2:C21">
    <cfRule type="expression" dxfId="0" priority="1">
      <formula>$D2="✔"</formula>
    </cfRule>
  </conditionalFormatting>
  <dataValidations count="1">
    <dataValidation type="list" allowBlank="1" sqref="D2:D21" xr:uid="{00000000-0002-0000-0200-000000000000}">
      <formula1>"✔"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總覽</vt:lpstr>
      <vt:lpstr>每日打卡</vt:lpstr>
      <vt:lpstr>週驗收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林芯緹</cp:lastModifiedBy>
  <dcterms:created xsi:type="dcterms:W3CDTF">2026-09-30T00:16:15Z</dcterms:created>
  <dcterms:modified xsi:type="dcterms:W3CDTF">2026-10-01T08:30:45Z</dcterms:modified>
</cp:coreProperties>
</file>